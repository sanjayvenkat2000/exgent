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income_stmt" sheetId="1" r:id="rId4"/>
    <sheet state="visible" name="sample_balance_sheet" sheetId="2" r:id="rId5"/>
    <sheet state="visible" name="blank_detection" sheetId="3" r:id="rId6"/>
    <sheet state="visible" name="Tags" sheetId="4" r:id="rId7"/>
    <sheet state="visible" name="Income Statement" sheetId="5" r:id="rId8"/>
  </sheets>
  <definedNames/>
  <calcPr/>
  <extLst>
    <ext uri="GoogleSheetsCustomDataVersion2">
      <go:sheetsCustomData xmlns:go="http://customooxmlschemas.google.com/" r:id="rId9" roundtripDataChecksum="ZPmSWQt+2NKfYWWwgK0bFRvLwNHLKgJ4iU34hJj6ERk="/>
    </ext>
  </extLst>
</workbook>
</file>

<file path=xl/sharedStrings.xml><?xml version="1.0" encoding="utf-8"?>
<sst xmlns="http://schemas.openxmlformats.org/spreadsheetml/2006/main" count="580" uniqueCount="249">
  <si>
    <t>Income Stmt</t>
  </si>
  <si>
    <t xml:space="preserve">    Revenue - X Men</t>
  </si>
  <si>
    <t xml:space="preserve">      4100 - X Men Sales CA</t>
  </si>
  <si>
    <t xml:space="preserve">      4100-12 - X Men Sales KS</t>
  </si>
  <si>
    <t xml:space="preserve">      4100-14 - X Men Sales NJ</t>
  </si>
  <si>
    <t xml:space="preserve">      4101 - Fighting Weight Sales</t>
  </si>
  <si>
    <t xml:space="preserve">      4203 - Revenue - Software</t>
  </si>
  <si>
    <t xml:space="preserve">      4102 - Revenue - Consultation</t>
  </si>
  <si>
    <t xml:space="preserve">      4120 - Sales Discounts</t>
  </si>
  <si>
    <t xml:space="preserve">      4140 - Refund Allowance X CA</t>
  </si>
  <si>
    <t xml:space="preserve">      4140-12 - Refund Allowance X KS</t>
  </si>
  <si>
    <t xml:space="preserve">      4140-14 - Refund Allowance X NJ</t>
  </si>
  <si>
    <t xml:space="preserve">      4140-16 - Refund Allowance Fighting Weight</t>
  </si>
  <si>
    <t xml:space="preserve">      4140 - Refund Allowance</t>
  </si>
  <si>
    <t xml:space="preserve">  Total Revenue</t>
  </si>
  <si>
    <t xml:space="preserve"> </t>
  </si>
  <si>
    <t xml:space="preserve">    Cost of Products Revenue</t>
  </si>
  <si>
    <t xml:space="preserve">    </t>
  </si>
  <si>
    <t xml:space="preserve">      5100 - Cost of Goods Sold-Pharmacy</t>
  </si>
  <si>
    <t xml:space="preserve">      5101 - Cost of Goods Sold-COGS Packaging</t>
  </si>
  <si>
    <t xml:space="preserve">      5103 - Cost of Goods Sold-Merchant Account Fees</t>
  </si>
  <si>
    <t xml:space="preserve">      5104 - Cost of Goods Sold-Chargebacks</t>
  </si>
  <si>
    <t xml:space="preserve">      5105 - Cost of Goods Sold-Shipping, Freight &amp; Delivery - COS</t>
  </si>
  <si>
    <t xml:space="preserve">      5203 - Cost of Software Revenue</t>
  </si>
  <si>
    <t xml:space="preserve">      5102 - Cost Of Goods Sold-Doctor Consultation Fee</t>
  </si>
  <si>
    <t>Costs of Good Sold</t>
  </si>
  <si>
    <t>Gross Margin</t>
  </si>
  <si>
    <t xml:space="preserve">        6081 - FaceBook</t>
  </si>
  <si>
    <t xml:space="preserve">        6082 - Google</t>
  </si>
  <si>
    <t xml:space="preserve">        6084 - Bing (Microsoft)</t>
  </si>
  <si>
    <t xml:space="preserve">        6085 - Twitter(X)</t>
  </si>
  <si>
    <t xml:space="preserve">        6086 - TikTok</t>
  </si>
  <si>
    <t xml:space="preserve">        6087 - Reddit</t>
  </si>
  <si>
    <t xml:space="preserve">        6088 - Snapchat</t>
  </si>
  <si>
    <t xml:space="preserve">        6089 - Rumble</t>
  </si>
  <si>
    <t xml:space="preserve">        6092 - Outbrain</t>
  </si>
  <si>
    <t xml:space="preserve">        6083 - Impact</t>
  </si>
  <si>
    <t xml:space="preserve">        6090 - Marketing expense</t>
  </si>
  <si>
    <t xml:space="preserve">        6093 - TV</t>
  </si>
  <si>
    <t xml:space="preserve">        6094 - The Offer</t>
  </si>
  <si>
    <t xml:space="preserve">        6095 - Podcasts</t>
  </si>
  <si>
    <t xml:space="preserve">        6096 - Linkby</t>
  </si>
  <si>
    <t xml:space="preserve">    6097 - Radio</t>
  </si>
  <si>
    <t>Paid Ad and Marketing Spend</t>
  </si>
  <si>
    <t>Profit before Operating Expenses</t>
  </si>
  <si>
    <t xml:space="preserve">  Operating Expenses</t>
  </si>
  <si>
    <t xml:space="preserve">  </t>
  </si>
  <si>
    <t xml:space="preserve">        6200 - Doctor Licensing Fee</t>
  </si>
  <si>
    <t xml:space="preserve">        6220 - Regulatory expense</t>
  </si>
  <si>
    <t xml:space="preserve">        6050 - Leadership Training &amp; Development</t>
  </si>
  <si>
    <t xml:space="preserve">        6500 - Bank Service Charges</t>
  </si>
  <si>
    <t xml:space="preserve">        6020 - Accounting &amp; Finance Fees</t>
  </si>
  <si>
    <t xml:space="preserve">        6040 - Legal Fees</t>
  </si>
  <si>
    <t xml:space="preserve">          6340 - Travel</t>
  </si>
  <si>
    <t xml:space="preserve">          6350 - Conferences</t>
  </si>
  <si>
    <t xml:space="preserve">          6300 - Meals and Entertainment</t>
  </si>
  <si>
    <t xml:space="preserve">        6302 - Entertainment</t>
  </si>
  <si>
    <t xml:space="preserve">        6440 - Office Supplies</t>
  </si>
  <si>
    <t xml:space="preserve">        6450 - Postage expense</t>
  </si>
  <si>
    <t xml:space="preserve">        6380 - Telephone Expense</t>
  </si>
  <si>
    <t xml:space="preserve">        9102 - Depreciation Expense</t>
  </si>
  <si>
    <t xml:space="preserve">        9101 - Amortization Expense</t>
  </si>
  <si>
    <t xml:space="preserve">        6295 - Employee Insurance</t>
  </si>
  <si>
    <t xml:space="preserve">        6296 - Employee Reimbursements</t>
  </si>
  <si>
    <t xml:space="preserve">        6288 - Bonuses</t>
  </si>
  <si>
    <t xml:space="preserve">        6030 - Contract Labor</t>
  </si>
  <si>
    <t xml:space="preserve">        6240 - Research &amp; Development</t>
  </si>
  <si>
    <t xml:space="preserve">        6270 - Payroll Expenses</t>
  </si>
  <si>
    <t xml:space="preserve">        6290 - Federal Payroll Taxes</t>
  </si>
  <si>
    <t xml:space="preserve">        6293 - State Unemployment Insurance</t>
  </si>
  <si>
    <t xml:space="preserve">        6294 - State Taxes</t>
  </si>
  <si>
    <t xml:space="preserve">        6285 - Salaries</t>
  </si>
  <si>
    <t xml:space="preserve">        6286 - Hourly Wages</t>
  </si>
  <si>
    <t xml:space="preserve">        6287 - PTO expense</t>
  </si>
  <si>
    <t xml:space="preserve">        6297 - 401k Match Expense</t>
  </si>
  <si>
    <t xml:space="preserve">        6360 - Rent Expense</t>
  </si>
  <si>
    <t xml:space="preserve">        6560 - Repairs and Maintenance</t>
  </si>
  <si>
    <t xml:space="preserve">        6000 - Professional Fees</t>
  </si>
  <si>
    <t xml:space="preserve">        6060 - HR</t>
  </si>
  <si>
    <t xml:space="preserve">        6065 - Recruiting Expense</t>
  </si>
  <si>
    <t xml:space="preserve">        6120 - Software Expense</t>
  </si>
  <si>
    <t xml:space="preserve">        6140 - Webhosting and maintenance</t>
  </si>
  <si>
    <t xml:space="preserve">        6540 - Other Misc Business Expense</t>
  </si>
  <si>
    <t xml:space="preserve">        6545 - Charitable Donations</t>
  </si>
  <si>
    <t xml:space="preserve">        9105 - Other Operating Expense</t>
  </si>
  <si>
    <t xml:space="preserve">        6180 - Doctor Insurance Expense</t>
  </si>
  <si>
    <t xml:space="preserve">        6520 - Insurance Expense</t>
  </si>
  <si>
    <t xml:space="preserve">        9104 - Taxes</t>
  </si>
  <si>
    <t>2021 Adjustments</t>
  </si>
  <si>
    <t>Total Operating Expenses</t>
  </si>
  <si>
    <t>Operating Income</t>
  </si>
  <si>
    <t xml:space="preserve">  Other Income (Expense)</t>
  </si>
  <si>
    <t xml:space="preserve">        8100 - Interest Income</t>
  </si>
  <si>
    <t xml:space="preserve">        6510 - Clearco Service Charges</t>
  </si>
  <si>
    <t xml:space="preserve">        8000 - Other Income</t>
  </si>
  <si>
    <t xml:space="preserve">        9103 - Interest Expense</t>
  </si>
  <si>
    <t xml:space="preserve">        9000 - Other Expense</t>
  </si>
  <si>
    <t xml:space="preserve">  Total Other Income (Expense)</t>
  </si>
  <si>
    <t xml:space="preserve">  Net Income (Loss)</t>
  </si>
  <si>
    <t>Plus: Other Income</t>
  </si>
  <si>
    <t>Plus: Depreciation</t>
  </si>
  <si>
    <t>Plus: Amortization</t>
  </si>
  <si>
    <t>EBITDA</t>
  </si>
  <si>
    <t xml:space="preserve">  Assets</t>
  </si>
  <si>
    <t xml:space="preserve">    Current Assets</t>
  </si>
  <si>
    <t xml:space="preserve">      Cash and Cash Equivalents</t>
  </si>
  <si>
    <t xml:space="preserve">        1210 - Money Market</t>
  </si>
  <si>
    <t xml:space="preserve">          1200 - Accounts Receivable</t>
  </si>
  <si>
    <t xml:space="preserve">        1300 - Inventory</t>
  </si>
  <si>
    <t xml:space="preserve">        1400 - Prepaid Expenses</t>
  </si>
  <si>
    <t xml:space="preserve">        1220 - Due from EMS-Reserve</t>
  </si>
  <si>
    <t xml:space="preserve">        1221 - Due from EMS-Deposits</t>
  </si>
  <si>
    <t xml:space="preserve">        1222 - Due from RAC-Deposits</t>
  </si>
  <si>
    <t xml:space="preserve">        1230 - Other Receivables</t>
  </si>
  <si>
    <t xml:space="preserve">        1420 - Undeposited Funds</t>
  </si>
  <si>
    <t xml:space="preserve">    Total Current Assets</t>
  </si>
  <si>
    <t xml:space="preserve">    Fixed Assets, Net</t>
  </si>
  <si>
    <t xml:space="preserve">    Intangible Assets, Net</t>
  </si>
  <si>
    <t xml:space="preserve">        1290 - Deposits and Prepayments</t>
  </si>
  <si>
    <t xml:space="preserve">        1230 - Employee Receivable</t>
  </si>
  <si>
    <t xml:space="preserve">  Total Assets</t>
  </si>
  <si>
    <t xml:space="preserve">  Liabilities and Equity</t>
  </si>
  <si>
    <t xml:space="preserve">      Current Liabilities</t>
  </si>
  <si>
    <t xml:space="preserve">      </t>
  </si>
  <si>
    <t xml:space="preserve">          2000 - Accounts Payable</t>
  </si>
  <si>
    <t xml:space="preserve">        Accrued Liabilities</t>
  </si>
  <si>
    <t xml:space="preserve">        </t>
  </si>
  <si>
    <t xml:space="preserve">          2020 - Accrued Expenses</t>
  </si>
  <si>
    <t xml:space="preserve">          2025 - Accrued Returns/Adjustments</t>
  </si>
  <si>
    <t xml:space="preserve">          2030 - Accrued Promescent Transfers</t>
  </si>
  <si>
    <t xml:space="preserve">          2031 - Accrued GetMyStride Transfers</t>
  </si>
  <si>
    <t xml:space="preserve">          2110 - Accrued Payroll</t>
  </si>
  <si>
    <t xml:space="preserve">          2120 - Accrued Payroll Taxes</t>
  </si>
  <si>
    <t xml:space="preserve">          2140 - Accrued Interest Payable</t>
  </si>
  <si>
    <t xml:space="preserve">        Total Accrued Liabilities</t>
  </si>
  <si>
    <t xml:space="preserve">        Deferred Revenue</t>
  </si>
  <si>
    <t xml:space="preserve">          2130 - Deferred Revenue</t>
  </si>
  <si>
    <t xml:space="preserve">        Total Deferred Revenue</t>
  </si>
  <si>
    <t xml:space="preserve">        Loan Payable</t>
  </si>
  <si>
    <t xml:space="preserve">          2200 - SBA Loan Payable - Short Term</t>
  </si>
  <si>
    <t xml:space="preserve">          2210 - PPP Loan</t>
  </si>
  <si>
    <t xml:space="preserve">          2230 - Loan Payable - Fast Forward</t>
  </si>
  <si>
    <t xml:space="preserve">          2240 - Loan Payable - Sundip Patel</t>
  </si>
  <si>
    <t xml:space="preserve">        Total Loan Payable</t>
  </si>
  <si>
    <t xml:space="preserve">        Short Term Debts</t>
  </si>
  <si>
    <t xml:space="preserve">          2010 - Divvy Card</t>
  </si>
  <si>
    <t xml:space="preserve">          2011 - Capital One Spark</t>
  </si>
  <si>
    <t xml:space="preserve">          2012 - Chase Corporate Credit Card (6330)</t>
  </si>
  <si>
    <t xml:space="preserve">          2013 - Rippling Spend</t>
  </si>
  <si>
    <t xml:space="preserve">          2060 - Clearco.com</t>
  </si>
  <si>
    <t xml:space="preserve">          2065 - PaperStack LOC</t>
  </si>
  <si>
    <t xml:space="preserve">        Total Short Term Debts</t>
  </si>
  <si>
    <t xml:space="preserve">      Total Current Liabilities</t>
  </si>
  <si>
    <t xml:space="preserve">      Long Term Liabilities</t>
  </si>
  <si>
    <t xml:space="preserve">        Note Payable - Long Term</t>
  </si>
  <si>
    <t xml:space="preserve">      Total Long Term Liabilities</t>
  </si>
  <si>
    <t xml:space="preserve">    Total Liabilities</t>
  </si>
  <si>
    <t xml:space="preserve">    Stockholders Equity</t>
  </si>
  <si>
    <t xml:space="preserve">      Partners Equity</t>
  </si>
  <si>
    <t xml:space="preserve">        3040 - Opening Balance Equity</t>
  </si>
  <si>
    <t xml:space="preserve">      Total Partners Equity</t>
  </si>
  <si>
    <t xml:space="preserve">      Preferred Stock</t>
  </si>
  <si>
    <t xml:space="preserve">        3070 - Preferred Stock at par value</t>
  </si>
  <si>
    <t xml:space="preserve">        3199 - Contra-Equity</t>
  </si>
  <si>
    <t xml:space="preserve">      Total Preferred Stock</t>
  </si>
  <si>
    <t xml:space="preserve">      Retained Earnings</t>
  </si>
  <si>
    <t xml:space="preserve">        3200 - Retained Earnings</t>
  </si>
  <si>
    <t xml:space="preserve">      Total Retained Earnings</t>
  </si>
  <si>
    <t xml:space="preserve">      Net Income (Loss)</t>
  </si>
  <si>
    <t xml:space="preserve">    Total Stockholders Equity</t>
  </si>
  <si>
    <t xml:space="preserve">  Total Liabilities and Equity</t>
  </si>
  <si>
    <t>Tags</t>
  </si>
  <si>
    <t>GR</t>
  </si>
  <si>
    <t>Gross Revenue</t>
  </si>
  <si>
    <t>Cash</t>
  </si>
  <si>
    <t>Cash and bank balances</t>
  </si>
  <si>
    <t>Discounts</t>
  </si>
  <si>
    <t>Total Discounts</t>
  </si>
  <si>
    <t>Inventory</t>
  </si>
  <si>
    <t>Returns</t>
  </si>
  <si>
    <t>Total Cancellation and Returns</t>
  </si>
  <si>
    <t>AR</t>
  </si>
  <si>
    <t>Accounts receivable</t>
  </si>
  <si>
    <t>NR</t>
  </si>
  <si>
    <t>Net Revenue</t>
  </si>
  <si>
    <t>CA</t>
  </si>
  <si>
    <t>Total Current Assets</t>
  </si>
  <si>
    <t>COGS</t>
  </si>
  <si>
    <t>Gross Product Cost</t>
  </si>
  <si>
    <t>PP&amp;E</t>
  </si>
  <si>
    <t>Property, Plant, &amp; Equipment</t>
  </si>
  <si>
    <t>Service</t>
  </si>
  <si>
    <t>Fulfillment, Shipping, Merchant Fee</t>
  </si>
  <si>
    <t>AD&amp;A</t>
  </si>
  <si>
    <t>Accumulated Depreciation &amp; Ammortization</t>
  </si>
  <si>
    <t>Marketing</t>
  </si>
  <si>
    <t>LTA</t>
  </si>
  <si>
    <t>Other Long Term Assets</t>
  </si>
  <si>
    <t>Payroll</t>
  </si>
  <si>
    <t>Payroll, Benefits, and Admin</t>
  </si>
  <si>
    <t>CC</t>
  </si>
  <si>
    <t>Credit Cards</t>
  </si>
  <si>
    <t>Ops</t>
  </si>
  <si>
    <t>Other Operating Expenses</t>
  </si>
  <si>
    <t>AP</t>
  </si>
  <si>
    <t>Accounts payable</t>
  </si>
  <si>
    <t>OI</t>
  </si>
  <si>
    <t>STD</t>
  </si>
  <si>
    <t>Short Term Debt (under CL)</t>
  </si>
  <si>
    <t>Other inc</t>
  </si>
  <si>
    <t>Non operating income</t>
  </si>
  <si>
    <t>CL</t>
  </si>
  <si>
    <t>Total Current Liabilities</t>
  </si>
  <si>
    <t>Other exp</t>
  </si>
  <si>
    <t>Non operating expenses</t>
  </si>
  <si>
    <t>LTD</t>
  </si>
  <si>
    <t>Long Term Debt (under LTL)</t>
  </si>
  <si>
    <t>Interest</t>
  </si>
  <si>
    <t>LTL</t>
  </si>
  <si>
    <t>Long Term Liabilities ex Debt</t>
  </si>
  <si>
    <t>DA*</t>
  </si>
  <si>
    <t>Depreciation &amp; Amortisation</t>
  </si>
  <si>
    <t>Equity</t>
  </si>
  <si>
    <t>PTI</t>
  </si>
  <si>
    <t>Pre-Tax Income</t>
  </si>
  <si>
    <t>Tax</t>
  </si>
  <si>
    <t>Taxes</t>
  </si>
  <si>
    <t>Income Statement</t>
  </si>
  <si>
    <t>Sample Corp.  FY 2019, 2020</t>
  </si>
  <si>
    <t>Figures USD</t>
  </si>
  <si>
    <t>Sales (Revenue)</t>
  </si>
  <si>
    <t>   Less: Cost of Goods Sold (COGS)</t>
  </si>
  <si>
    <t>Gross Income</t>
  </si>
  <si>
    <t>   Less: Selling, General, Administrative Costs (SG&amp;A)</t>
  </si>
  <si>
    <t>Operating Income Before Depreciation (EBITDA)</t>
  </si>
  <si>
    <t>   Less: Depreciation, Amortization, Depletion</t>
  </si>
  <si>
    <t>Operating Income (EBIT)</t>
  </si>
  <si>
    <t>   Less: Interest Expense</t>
  </si>
  <si>
    <t>Non-operating Income</t>
  </si>
  <si>
    <t>   Less: Non-operating Expenses</t>
  </si>
  <si>
    <t>Pretax Accounting Income</t>
  </si>
  <si>
    <t>   Less: Income Taxes</t>
  </si>
  <si>
    <t>Income Before Extraordinary Items</t>
  </si>
  <si>
    <t>   Less: Preferred Stock Dividends</t>
  </si>
  <si>
    <t>Income Available for Common Stockholders</t>
  </si>
  <si>
    <t>   Less: Extraordinary Items</t>
  </si>
  <si>
    <t>   Less: Discontinued Operations</t>
  </si>
  <si>
    <t>Adjusted Net Income</t>
  </si>
  <si>
    <r>
      <rPr>
        <rFont val="Arial"/>
        <b/>
        <color theme="1"/>
        <sz val="10.0"/>
      </rPr>
      <t>Earnings Per Share</t>
    </r>
    <r>
      <rPr>
        <rFont val="Arial"/>
        <b val="0"/>
        <color theme="1"/>
        <sz val="10.0"/>
      </rPr>
      <t xml:space="preserve"> (200,000 shares of stock)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</si>
</sst>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\ \'yy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&quot;$&quot;#,##0.00_);[Red]\(&quot;$&quot;#,##0.00\)"/>
  </numFmts>
  <fonts count="11">
    <font>
      <sz val="11.0"/>
      <color theme="1"/>
      <name val="Arial"/>
      <scheme val="minor"/>
    </font>
    <font>
      <b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sz val="10.0"/>
      <color theme="1"/>
      <name val="Arial"/>
    </font>
    <font>
      <b/>
      <sz val="11.0"/>
      <color theme="1"/>
      <name val="Aptos Narrow"/>
    </font>
    <font>
      <i/>
      <sz val="10.0"/>
      <color theme="1"/>
      <name val="Arial"/>
    </font>
    <font>
      <sz val="10.0"/>
      <color theme="1"/>
      <name val="Arial"/>
    </font>
    <font>
      <color theme="1"/>
      <name val="Arial"/>
    </font>
    <font/>
    <font>
      <sz val="10.0"/>
      <color rgb="FF8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23">
    <border/>
    <border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medium">
        <color rgb="FFC0C0C0"/>
      </bottom>
    </border>
    <border>
      <top/>
      <bottom style="medium">
        <color rgb="FFC0C0C0"/>
      </bottom>
    </border>
    <border>
      <right style="thin">
        <color rgb="FF000000"/>
      </right>
      <top/>
      <bottom style="medium">
        <color rgb="FFC0C0C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medium">
        <color rgb="FFC0C0C0"/>
      </top>
      <bottom/>
    </border>
    <border>
      <top style="medium">
        <color rgb="FFC0C0C0"/>
      </top>
      <bottom/>
    </border>
    <border>
      <right style="thin">
        <color rgb="FF000000"/>
      </right>
      <top style="medium">
        <color rgb="FFC0C0C0"/>
      </top>
      <bottom/>
    </border>
    <border>
      <left/>
      <right style="medium">
        <color rgb="FF666699"/>
      </right>
      <top/>
      <bottom/>
    </border>
    <border>
      <left/>
      <right style="medium">
        <color rgb="FF666699"/>
      </right>
      <top/>
      <bottom style="medium">
        <color rgb="FFC0C0C0"/>
      </bottom>
    </border>
    <border>
      <left/>
      <right style="thin">
        <color rgb="FF000000"/>
      </right>
      <top/>
      <bottom style="medium">
        <color rgb="FFC0C0C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medium">
        <color rgb="FF666699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165" xfId="0" applyFont="1" applyNumberFormat="1"/>
    <xf borderId="0" fillId="0" fontId="3" numFmtId="0" xfId="0" applyAlignment="1" applyFont="1">
      <alignment horizontal="left"/>
    </xf>
    <xf borderId="1" fillId="0" fontId="2" numFmtId="165" xfId="0" applyBorder="1" applyFont="1" applyNumberFormat="1"/>
    <xf borderId="2" fillId="2" fontId="4" numFmtId="166" xfId="0" applyAlignment="1" applyBorder="1" applyFill="1" applyFont="1" applyNumberFormat="1">
      <alignment horizontal="left"/>
    </xf>
    <xf borderId="3" fillId="2" fontId="4" numFmtId="166" xfId="0" applyBorder="1" applyFont="1" applyNumberFormat="1"/>
    <xf borderId="1" fillId="0" fontId="2" numFmtId="0" xfId="0" applyAlignment="1" applyBorder="1" applyFont="1">
      <alignment horizontal="left"/>
    </xf>
    <xf borderId="2" fillId="2" fontId="5" numFmtId="0" xfId="0" applyAlignment="1" applyBorder="1" applyFont="1">
      <alignment horizontal="left"/>
    </xf>
    <xf borderId="2" fillId="2" fontId="4" numFmtId="166" xfId="0" applyBorder="1" applyFont="1" applyNumberFormat="1"/>
    <xf borderId="0" fillId="0" fontId="2" numFmtId="10" xfId="0" applyFont="1" applyNumberFormat="1"/>
    <xf borderId="0" fillId="0" fontId="6" numFmtId="167" xfId="0" applyFont="1" applyNumberFormat="1"/>
    <xf borderId="4" fillId="2" fontId="5" numFmtId="0" xfId="0" applyAlignment="1" applyBorder="1" applyFont="1">
      <alignment horizontal="left"/>
    </xf>
    <xf borderId="4" fillId="2" fontId="4" numFmtId="166" xfId="0" applyBorder="1" applyFont="1" applyNumberFormat="1"/>
    <xf borderId="4" fillId="2" fontId="4" numFmtId="165" xfId="0" applyBorder="1" applyFont="1" applyNumberFormat="1"/>
    <xf borderId="0" fillId="0" fontId="4" numFmtId="0" xfId="0" applyAlignment="1" applyFont="1">
      <alignment horizontal="left"/>
    </xf>
    <xf borderId="0" fillId="0" fontId="2" numFmtId="166" xfId="0" applyFont="1" applyNumberFormat="1"/>
    <xf borderId="4" fillId="2" fontId="5" numFmtId="0" xfId="0" applyAlignment="1" applyBorder="1" applyFont="1">
      <alignment horizontal="right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4" numFmtId="165" xfId="0" applyAlignment="1" applyFont="1" applyNumberFormat="1">
      <alignment horizontal="left"/>
    </xf>
    <xf borderId="0" fillId="0" fontId="2" numFmtId="165" xfId="0" applyAlignment="1" applyFont="1" applyNumberFormat="1">
      <alignment horizontal="right"/>
    </xf>
    <xf borderId="0" fillId="0" fontId="2" numFmtId="4" xfId="0" applyFont="1" applyNumberFormat="1"/>
    <xf borderId="1" fillId="0" fontId="2" numFmtId="165" xfId="0" applyAlignment="1" applyBorder="1" applyFont="1" applyNumberFormat="1">
      <alignment horizontal="right"/>
    </xf>
    <xf borderId="1" fillId="0" fontId="2" numFmtId="0" xfId="0" applyBorder="1" applyFont="1"/>
    <xf borderId="0" fillId="0" fontId="2" numFmtId="165" xfId="0" applyAlignment="1" applyFont="1" applyNumberFormat="1">
      <alignment horizontal="left"/>
    </xf>
    <xf borderId="2" fillId="2" fontId="4" numFmtId="165" xfId="0" applyBorder="1" applyFont="1" applyNumberFormat="1"/>
    <xf borderId="1" fillId="0" fontId="2" numFmtId="4" xfId="0" applyBorder="1" applyFont="1" applyNumberFormat="1"/>
    <xf borderId="3" fillId="3" fontId="2" numFmtId="0" xfId="0" applyAlignment="1" applyBorder="1" applyFill="1" applyFont="1">
      <alignment horizontal="left"/>
    </xf>
    <xf borderId="5" fillId="2" fontId="5" numFmtId="0" xfId="0" applyAlignment="1" applyBorder="1" applyFont="1">
      <alignment horizontal="left"/>
    </xf>
    <xf borderId="5" fillId="2" fontId="4" numFmtId="165" xfId="0" applyBorder="1" applyFont="1" applyNumberFormat="1"/>
    <xf borderId="0" fillId="0" fontId="5" numFmtId="0" xfId="0" applyFont="1"/>
    <xf borderId="0" fillId="0" fontId="8" numFmtId="0" xfId="0" applyFont="1"/>
    <xf borderId="6" fillId="4" fontId="4" numFmtId="0" xfId="0" applyAlignment="1" applyBorder="1" applyFill="1" applyFont="1">
      <alignment shrinkToFit="0" wrapText="1"/>
    </xf>
    <xf borderId="7" fillId="0" fontId="9" numFmtId="0" xfId="0" applyBorder="1" applyFont="1"/>
    <xf borderId="8" fillId="0" fontId="9" numFmtId="0" xfId="0" applyBorder="1" applyFont="1"/>
    <xf borderId="9" fillId="4" fontId="4" numFmtId="0" xfId="0" applyAlignment="1" applyBorder="1" applyFont="1">
      <alignment shrinkToFit="0" wrapText="1"/>
    </xf>
    <xf borderId="10" fillId="0" fontId="9" numFmtId="0" xfId="0" applyBorder="1" applyFont="1"/>
    <xf borderId="11" fillId="0" fontId="9" numFmtId="0" xfId="0" applyBorder="1" applyFont="1"/>
    <xf borderId="12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shrinkToFit="0" wrapText="1"/>
    </xf>
    <xf borderId="13" fillId="3" fontId="4" numFmtId="0" xfId="0" applyAlignment="1" applyBorder="1" applyFont="1">
      <alignment shrinkToFit="0" wrapText="1"/>
    </xf>
    <xf borderId="14" fillId="3" fontId="7" numFmtId="0" xfId="0" applyAlignment="1" applyBorder="1" applyFont="1">
      <alignment shrinkToFit="0" wrapText="1"/>
    </xf>
    <xf borderId="15" fillId="0" fontId="9" numFmtId="0" xfId="0" applyBorder="1" applyFont="1"/>
    <xf borderId="16" fillId="0" fontId="9" numFmtId="0" xfId="0" applyBorder="1" applyFont="1"/>
    <xf borderId="12" fillId="3" fontId="7" numFmtId="0" xfId="0" applyAlignment="1" applyBorder="1" applyFont="1">
      <alignment shrinkToFit="0" vertical="top" wrapText="1"/>
    </xf>
    <xf borderId="17" fillId="3" fontId="7" numFmtId="3" xfId="0" applyAlignment="1" applyBorder="1" applyFont="1" applyNumberFormat="1">
      <alignment horizontal="right" shrinkToFit="0" vertical="top" wrapText="1"/>
    </xf>
    <xf borderId="13" fillId="3" fontId="7" numFmtId="3" xfId="0" applyAlignment="1" applyBorder="1" applyFont="1" applyNumberFormat="1">
      <alignment horizontal="right" shrinkToFit="0" vertical="top" wrapText="1"/>
    </xf>
    <xf borderId="18" fillId="3" fontId="10" numFmtId="38" xfId="0" applyAlignment="1" applyBorder="1" applyFont="1" applyNumberFormat="1">
      <alignment horizontal="right" shrinkToFit="0" vertical="top" wrapText="1"/>
    </xf>
    <xf borderId="19" fillId="3" fontId="10" numFmtId="38" xfId="0" applyAlignment="1" applyBorder="1" applyFont="1" applyNumberFormat="1">
      <alignment horizontal="right" shrinkToFit="0" vertical="top" wrapText="1"/>
    </xf>
    <xf borderId="17" fillId="3" fontId="10" numFmtId="38" xfId="0" applyAlignment="1" applyBorder="1" applyFont="1" applyNumberFormat="1">
      <alignment horizontal="right" shrinkToFit="0" vertical="top" wrapText="1"/>
    </xf>
    <xf borderId="13" fillId="3" fontId="10" numFmtId="38" xfId="0" applyAlignment="1" applyBorder="1" applyFont="1" applyNumberFormat="1">
      <alignment horizontal="right" shrinkToFit="0" vertical="top" wrapText="1"/>
    </xf>
    <xf borderId="12" fillId="3" fontId="4" numFmtId="0" xfId="0" applyAlignment="1" applyBorder="1" applyFont="1">
      <alignment shrinkToFit="0" vertical="top" wrapText="1"/>
    </xf>
    <xf borderId="20" fillId="3" fontId="4" numFmtId="0" xfId="0" applyAlignment="1" applyBorder="1" applyFont="1">
      <alignment shrinkToFit="0" vertical="center" wrapText="1"/>
    </xf>
    <xf borderId="21" fillId="3" fontId="4" numFmtId="168" xfId="0" applyAlignment="1" applyBorder="1" applyFont="1" applyNumberFormat="1">
      <alignment horizontal="right" shrinkToFit="0" vertical="center" wrapText="1"/>
    </xf>
    <xf borderId="22" fillId="3" fontId="4" numFmtId="168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B3" s="2">
        <v>44927.0</v>
      </c>
      <c r="C3" s="2">
        <v>44958.0</v>
      </c>
      <c r="D3" s="2">
        <v>44986.0</v>
      </c>
      <c r="E3" s="2">
        <v>45017.0</v>
      </c>
      <c r="F3" s="2">
        <v>45047.0</v>
      </c>
      <c r="G3" s="2">
        <v>45078.0</v>
      </c>
      <c r="H3" s="2">
        <v>45108.0</v>
      </c>
      <c r="I3" s="2">
        <v>45139.0</v>
      </c>
      <c r="J3" s="2">
        <v>45170.0</v>
      </c>
      <c r="K3" s="2">
        <v>45200.0</v>
      </c>
      <c r="L3" s="2">
        <v>45231.0</v>
      </c>
      <c r="M3" s="2">
        <v>45261.0</v>
      </c>
      <c r="N3" s="2">
        <v>45292.0</v>
      </c>
      <c r="O3" s="2">
        <v>45323.0</v>
      </c>
      <c r="P3" s="2">
        <v>45352.0</v>
      </c>
      <c r="Q3" s="2">
        <v>45383.0</v>
      </c>
      <c r="R3" s="2">
        <v>45413.0</v>
      </c>
      <c r="S3" s="2">
        <v>45444.0</v>
      </c>
      <c r="T3" s="2">
        <v>45474.0</v>
      </c>
      <c r="U3" s="2">
        <v>45505.0</v>
      </c>
      <c r="V3" s="2">
        <v>45536.0</v>
      </c>
      <c r="W3" s="2">
        <v>45566.0</v>
      </c>
      <c r="X3" s="2">
        <v>45597.0</v>
      </c>
      <c r="Y3" s="2">
        <v>45627.0</v>
      </c>
      <c r="Z3" s="2">
        <v>45658.0</v>
      </c>
      <c r="AA3" s="2">
        <v>45689.0</v>
      </c>
      <c r="AB3" s="2">
        <v>45717.0</v>
      </c>
      <c r="AC3" s="2">
        <v>45748.0</v>
      </c>
      <c r="AD3" s="2">
        <v>45778.0</v>
      </c>
      <c r="AE3" s="2">
        <v>45809.0</v>
      </c>
      <c r="AF3" s="2">
        <v>45839.0</v>
      </c>
    </row>
    <row r="5">
      <c r="A5" s="3" t="s">
        <v>1</v>
      </c>
    </row>
    <row r="6">
      <c r="A6" s="3" t="s">
        <v>2</v>
      </c>
      <c r="B6" s="4">
        <v>2051332.45</v>
      </c>
      <c r="C6" s="4">
        <v>1820744.74</v>
      </c>
      <c r="D6" s="4">
        <v>2280038.52</v>
      </c>
      <c r="E6" s="4">
        <v>1998299.77</v>
      </c>
      <c r="F6" s="4">
        <v>2425009.12</v>
      </c>
      <c r="G6" s="4">
        <v>2408937.58</v>
      </c>
      <c r="H6" s="4">
        <v>1987764.47</v>
      </c>
      <c r="I6" s="4">
        <v>2158054.27</v>
      </c>
      <c r="J6" s="4">
        <v>2097195.05</v>
      </c>
      <c r="K6" s="4">
        <v>1964103.31</v>
      </c>
      <c r="L6" s="4">
        <v>1954756.12</v>
      </c>
      <c r="M6" s="4">
        <v>2090310.68</v>
      </c>
      <c r="N6" s="4">
        <v>1914288.0</v>
      </c>
      <c r="O6" s="4">
        <v>1647899.6</v>
      </c>
      <c r="P6" s="4">
        <v>1944658.95</v>
      </c>
      <c r="Q6" s="4">
        <v>2075833.33</v>
      </c>
      <c r="R6" s="4">
        <v>2263043.03</v>
      </c>
      <c r="S6" s="4">
        <v>2422744.75</v>
      </c>
      <c r="T6" s="4">
        <v>2359407.1</v>
      </c>
      <c r="U6" s="4">
        <v>2219590.56</v>
      </c>
      <c r="V6" s="4">
        <v>2390715.45</v>
      </c>
      <c r="W6" s="4">
        <v>2525356.95</v>
      </c>
      <c r="X6" s="4">
        <v>2693867.0</v>
      </c>
      <c r="Y6" s="4">
        <v>2983283.36</v>
      </c>
      <c r="Z6" s="4">
        <v>3103143.99</v>
      </c>
      <c r="AA6" s="4">
        <v>2894530.0</v>
      </c>
      <c r="AB6" s="4">
        <v>2986684.74</v>
      </c>
      <c r="AC6" s="4">
        <v>3312928.54</v>
      </c>
      <c r="AD6" s="4">
        <v>4885808.27</v>
      </c>
      <c r="AE6" s="4">
        <v>7810745.69</v>
      </c>
      <c r="AF6" s="4">
        <v>1.070925269E7</v>
      </c>
    </row>
    <row r="7">
      <c r="A7" s="3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>
        <v>0.0</v>
      </c>
      <c r="AA7" s="4">
        <v>50484.0</v>
      </c>
      <c r="AB7" s="4">
        <v>19792.19</v>
      </c>
      <c r="AC7" s="4">
        <v>18636.61</v>
      </c>
      <c r="AD7" s="4">
        <v>27863.81</v>
      </c>
      <c r="AE7" s="4">
        <v>52369.0</v>
      </c>
      <c r="AF7" s="4">
        <v>71335.0</v>
      </c>
    </row>
    <row r="8">
      <c r="A8" s="3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>
        <v>0.0</v>
      </c>
      <c r="AA8" s="4">
        <v>56441.5</v>
      </c>
      <c r="AB8" s="4">
        <v>82910.91</v>
      </c>
      <c r="AC8" s="4">
        <v>96595.41</v>
      </c>
      <c r="AD8" s="4">
        <v>145384.91</v>
      </c>
      <c r="AE8" s="4">
        <v>227645.85</v>
      </c>
      <c r="AF8" s="4">
        <v>326353.65</v>
      </c>
    </row>
    <row r="9">
      <c r="A9" s="3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1052.0</v>
      </c>
      <c r="Z9" s="4">
        <v>1625.0</v>
      </c>
      <c r="AA9" s="4">
        <v>2193.75</v>
      </c>
      <c r="AB9" s="4">
        <v>1200.0</v>
      </c>
      <c r="AC9" s="4">
        <v>1775.0</v>
      </c>
      <c r="AD9" s="4">
        <v>1300.0</v>
      </c>
      <c r="AE9" s="4">
        <v>0.0</v>
      </c>
      <c r="AF9" s="4">
        <v>0.0</v>
      </c>
    </row>
    <row r="10">
      <c r="A10" s="5" t="s">
        <v>6</v>
      </c>
      <c r="B10" s="4">
        <v>0.0</v>
      </c>
      <c r="C10" s="4">
        <v>0.0</v>
      </c>
      <c r="D10" s="4">
        <v>0.0</v>
      </c>
      <c r="E10" s="4">
        <v>0.0</v>
      </c>
      <c r="F10" s="4">
        <v>10000.0</v>
      </c>
      <c r="G10" s="4">
        <v>21402.5</v>
      </c>
      <c r="H10" s="4">
        <v>13863.5</v>
      </c>
      <c r="I10" s="4">
        <v>14373.0</v>
      </c>
      <c r="J10" s="4">
        <v>19167.0</v>
      </c>
      <c r="K10" s="4">
        <v>13536.5</v>
      </c>
      <c r="L10" s="4">
        <v>13741.0</v>
      </c>
      <c r="M10" s="4">
        <v>13186.5</v>
      </c>
      <c r="N10" s="4">
        <v>30133.16</v>
      </c>
      <c r="O10" s="4">
        <v>16655.67</v>
      </c>
      <c r="P10" s="4">
        <v>15337.0</v>
      </c>
      <c r="Q10" s="4">
        <v>16927.5</v>
      </c>
      <c r="R10" s="4">
        <v>17853.28</v>
      </c>
      <c r="S10" s="4">
        <v>16155.25</v>
      </c>
      <c r="T10" s="4">
        <v>16689.5</v>
      </c>
      <c r="U10" s="4">
        <v>18548.75</v>
      </c>
      <c r="V10" s="4">
        <v>19412.0</v>
      </c>
      <c r="W10" s="4">
        <v>21058.75</v>
      </c>
      <c r="X10" s="4">
        <v>23448.25</v>
      </c>
      <c r="Y10" s="4">
        <v>23860.0</v>
      </c>
      <c r="Z10" s="4">
        <v>2015.5</v>
      </c>
      <c r="AA10" s="4">
        <v>1110.75</v>
      </c>
      <c r="AB10" s="4">
        <v>504.0</v>
      </c>
      <c r="AC10" s="4">
        <v>715.5</v>
      </c>
      <c r="AD10" s="4">
        <v>0.0</v>
      </c>
      <c r="AE10" s="4"/>
      <c r="AF10" s="4">
        <v>0.0</v>
      </c>
    </row>
    <row r="11">
      <c r="A11" s="3" t="s">
        <v>7</v>
      </c>
      <c r="B11" s="4">
        <v>99250.0</v>
      </c>
      <c r="C11" s="4">
        <v>84525.0</v>
      </c>
      <c r="D11" s="4">
        <v>99200.0</v>
      </c>
      <c r="E11" s="4">
        <v>90775.0</v>
      </c>
      <c r="F11" s="4">
        <v>88925.0</v>
      </c>
      <c r="G11" s="4">
        <v>78650.0</v>
      </c>
      <c r="H11" s="4">
        <v>55625.0</v>
      </c>
      <c r="I11" s="4">
        <v>68325.0</v>
      </c>
      <c r="J11" s="4">
        <v>76275.0</v>
      </c>
      <c r="K11" s="4">
        <v>65475.0</v>
      </c>
      <c r="L11" s="4">
        <v>70550.0</v>
      </c>
      <c r="M11" s="4">
        <v>66575.0</v>
      </c>
      <c r="N11" s="4">
        <v>70220.0</v>
      </c>
      <c r="O11" s="4">
        <v>54820.0</v>
      </c>
      <c r="P11" s="4">
        <v>78500.0</v>
      </c>
      <c r="Q11" s="4">
        <v>84980.0</v>
      </c>
      <c r="R11" s="4">
        <v>95020.0</v>
      </c>
      <c r="S11" s="4">
        <v>88840.0</v>
      </c>
      <c r="T11" s="4">
        <v>76080.0</v>
      </c>
      <c r="U11" s="4">
        <v>75400.0</v>
      </c>
      <c r="V11" s="4">
        <v>80700.0</v>
      </c>
      <c r="W11" s="4">
        <v>95860.0</v>
      </c>
      <c r="X11" s="4">
        <v>101060.0</v>
      </c>
      <c r="Y11" s="4">
        <v>115840.0</v>
      </c>
      <c r="Z11" s="4">
        <v>117060.0</v>
      </c>
      <c r="AA11" s="4">
        <v>102120.0</v>
      </c>
      <c r="AB11" s="4">
        <v>106480.0</v>
      </c>
      <c r="AC11" s="4">
        <v>147780.0</v>
      </c>
      <c r="AD11" s="4">
        <v>306360.0</v>
      </c>
      <c r="AE11" s="4">
        <v>0.0</v>
      </c>
      <c r="AF11" s="4">
        <v>0.0</v>
      </c>
    </row>
    <row r="12">
      <c r="A12" s="3" t="s">
        <v>8</v>
      </c>
      <c r="B12" s="4">
        <v>-322587.41</v>
      </c>
      <c r="C12" s="4">
        <v>-273049.18</v>
      </c>
      <c r="D12" s="4">
        <v>-341820.85</v>
      </c>
      <c r="E12" s="4">
        <v>-299745.01</v>
      </c>
      <c r="F12" s="4">
        <v>-363751.42</v>
      </c>
      <c r="G12" s="4">
        <v>-361340.69</v>
      </c>
      <c r="H12" s="4">
        <v>-298164.71</v>
      </c>
      <c r="I12" s="4">
        <v>-325397.94</v>
      </c>
      <c r="J12" s="4">
        <v>-315414.95</v>
      </c>
      <c r="K12" s="4">
        <v>-294297.33</v>
      </c>
      <c r="L12" s="4">
        <v>-291881.16</v>
      </c>
      <c r="M12" s="4">
        <v>-314310.3</v>
      </c>
      <c r="N12" s="4">
        <v>-36029.6</v>
      </c>
      <c r="O12" s="4">
        <v>-39332.95</v>
      </c>
      <c r="P12" s="4">
        <v>-34998.65</v>
      </c>
      <c r="Q12" s="4">
        <v>-48261.7</v>
      </c>
      <c r="R12" s="4">
        <v>-55482.5</v>
      </c>
      <c r="S12" s="4">
        <v>-37983.5</v>
      </c>
      <c r="T12" s="4">
        <v>-27754.2</v>
      </c>
      <c r="U12" s="4">
        <v>-50962.0</v>
      </c>
      <c r="V12" s="4">
        <v>-22054.05</v>
      </c>
      <c r="W12" s="4">
        <v>-26746.45</v>
      </c>
      <c r="X12" s="4">
        <v>-9269.95</v>
      </c>
      <c r="Y12" s="4">
        <v>-7882.0</v>
      </c>
      <c r="Z12" s="4">
        <v>-8870.45</v>
      </c>
      <c r="AA12" s="4">
        <v>-13729.54</v>
      </c>
      <c r="AB12" s="4">
        <v>-14423.99</v>
      </c>
      <c r="AC12" s="4">
        <v>-13813.2</v>
      </c>
      <c r="AD12" s="4">
        <v>-23067.75</v>
      </c>
      <c r="AE12" s="4">
        <v>-38308.0</v>
      </c>
      <c r="AF12" s="4">
        <v>-47496.55</v>
      </c>
    </row>
    <row r="13">
      <c r="A13" s="3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>
        <v>-760.0</v>
      </c>
      <c r="L13" s="4">
        <v>-1784.0</v>
      </c>
      <c r="M13" s="4">
        <v>-2112.0</v>
      </c>
      <c r="N13" s="4">
        <v>-17850.0</v>
      </c>
      <c r="O13" s="4">
        <v>-8597.25</v>
      </c>
      <c r="P13" s="4">
        <v>-12339.75</v>
      </c>
      <c r="Q13" s="4">
        <v>-12423.5</v>
      </c>
      <c r="R13" s="4">
        <v>-19315.0</v>
      </c>
      <c r="S13" s="4">
        <v>-41509.0</v>
      </c>
      <c r="T13" s="4">
        <v>-41731.4</v>
      </c>
      <c r="U13" s="4">
        <v>-35917.5</v>
      </c>
      <c r="V13" s="4">
        <v>-60479.35</v>
      </c>
      <c r="W13" s="4">
        <v>-50224.19</v>
      </c>
      <c r="X13" s="4">
        <v>-41320.25</v>
      </c>
      <c r="Y13" s="4">
        <v>-61748.95</v>
      </c>
      <c r="Z13" s="4">
        <v>-85549.3</v>
      </c>
      <c r="AA13" s="4">
        <v>-59956.18</v>
      </c>
      <c r="AB13" s="4">
        <v>-73334.9</v>
      </c>
      <c r="AC13" s="4">
        <v>-60431.25</v>
      </c>
      <c r="AD13" s="4">
        <v>-106767.3</v>
      </c>
      <c r="AE13" s="4">
        <v>-199376.2</v>
      </c>
      <c r="AF13" s="4">
        <v>-210157.86</v>
      </c>
    </row>
    <row r="14">
      <c r="A14" s="3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>
        <v>-150.0</v>
      </c>
      <c r="AB14" s="4">
        <v>-740.0</v>
      </c>
      <c r="AC14" s="4">
        <v>-540.0</v>
      </c>
      <c r="AD14" s="4">
        <v>-455.0</v>
      </c>
      <c r="AE14" s="4">
        <v>-410.0</v>
      </c>
      <c r="AF14" s="4">
        <v>-858.0</v>
      </c>
    </row>
    <row r="15">
      <c r="A15" s="3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>
        <v>-2729.0</v>
      </c>
      <c r="AB15" s="4">
        <v>-1603.0</v>
      </c>
      <c r="AC15" s="4">
        <v>-1274.5</v>
      </c>
      <c r="AD15" s="4">
        <v>-3672.0</v>
      </c>
      <c r="AE15" s="4">
        <v>-5294.0</v>
      </c>
      <c r="AF15" s="4">
        <v>-3986.5</v>
      </c>
    </row>
    <row r="16">
      <c r="A16" s="3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>
        <v>0.0</v>
      </c>
      <c r="AB16" s="4">
        <v>0.0</v>
      </c>
      <c r="AC16" s="4">
        <v>0.0</v>
      </c>
      <c r="AD16" s="4">
        <v>-325.0</v>
      </c>
      <c r="AE16" s="4">
        <v>-225.0</v>
      </c>
      <c r="AF16" s="4">
        <v>0.0</v>
      </c>
    </row>
    <row r="17">
      <c r="A17" s="3" t="s">
        <v>13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7" t="s">
        <v>14</v>
      </c>
      <c r="B18" s="8">
        <v>1827995.0400000003</v>
      </c>
      <c r="C18" s="8">
        <v>1632220.56</v>
      </c>
      <c r="D18" s="8">
        <v>2037417.67</v>
      </c>
      <c r="E18" s="8">
        <v>1789329.76</v>
      </c>
      <c r="F18" s="8">
        <v>2160182.7</v>
      </c>
      <c r="G18" s="8">
        <v>2147649.39</v>
      </c>
      <c r="H18" s="8">
        <v>1759088.26</v>
      </c>
      <c r="I18" s="8">
        <v>1915354.33</v>
      </c>
      <c r="J18" s="8">
        <v>1877222.0999999999</v>
      </c>
      <c r="K18" s="8">
        <v>1748057.48</v>
      </c>
      <c r="L18" s="8">
        <v>1745381.9600000002</v>
      </c>
      <c r="M18" s="8">
        <v>1853649.8799999997</v>
      </c>
      <c r="N18" s="8">
        <v>1960761.5599999998</v>
      </c>
      <c r="O18" s="8">
        <v>1671445.07</v>
      </c>
      <c r="P18" s="8">
        <v>1991157.55</v>
      </c>
      <c r="Q18" s="8">
        <v>2117055.63</v>
      </c>
      <c r="R18" s="8">
        <v>2301118.8099999996</v>
      </c>
      <c r="S18" s="8">
        <v>2448247.5</v>
      </c>
      <c r="T18" s="8">
        <v>2382691.0</v>
      </c>
      <c r="U18" s="8">
        <v>2226659.81</v>
      </c>
      <c r="V18" s="8">
        <v>2408294.0500000003</v>
      </c>
      <c r="W18" s="8">
        <v>2565305.06</v>
      </c>
      <c r="X18" s="8">
        <v>2767785.05</v>
      </c>
      <c r="Y18" s="8">
        <v>3054404.4099999997</v>
      </c>
      <c r="Z18" s="8">
        <v>3129424.74</v>
      </c>
      <c r="AA18" s="8">
        <v>3030315.28</v>
      </c>
      <c r="AB18" s="8">
        <v>3107469.95</v>
      </c>
      <c r="AC18" s="8">
        <v>3502372.11</v>
      </c>
      <c r="AD18" s="8">
        <v>5232429.9399999995</v>
      </c>
      <c r="AE18" s="8">
        <v>7847147.34</v>
      </c>
      <c r="AF18" s="8">
        <v>1.084444243E7</v>
      </c>
    </row>
    <row r="19">
      <c r="A19" s="3" t="s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>
        <v>0.0</v>
      </c>
    </row>
    <row r="20">
      <c r="A20" s="3" t="s">
        <v>16</v>
      </c>
      <c r="B20" s="4" t="s">
        <v>17</v>
      </c>
      <c r="C20" s="4" t="s">
        <v>17</v>
      </c>
      <c r="D20" s="4" t="s">
        <v>17</v>
      </c>
      <c r="E20" s="4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  <c r="L20" s="4" t="s">
        <v>17</v>
      </c>
      <c r="M20" s="4" t="s">
        <v>17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 t="s">
        <v>17</v>
      </c>
    </row>
    <row r="21">
      <c r="A21" s="3" t="s">
        <v>18</v>
      </c>
      <c r="B21" s="4">
        <v>224420.64</v>
      </c>
      <c r="C21" s="4">
        <v>207160.2</v>
      </c>
      <c r="D21" s="4">
        <v>221233.09</v>
      </c>
      <c r="E21" s="4">
        <v>191112.03</v>
      </c>
      <c r="F21" s="4">
        <v>250431.09</v>
      </c>
      <c r="G21" s="4">
        <v>230349.69</v>
      </c>
      <c r="H21" s="4">
        <v>204113.2</v>
      </c>
      <c r="I21" s="4">
        <v>202822.67</v>
      </c>
      <c r="J21" s="4">
        <v>200376.64</v>
      </c>
      <c r="K21" s="4">
        <v>192484.12</v>
      </c>
      <c r="L21" s="4">
        <v>183697.84</v>
      </c>
      <c r="M21" s="4">
        <v>190516.08</v>
      </c>
      <c r="N21" s="4">
        <v>204732.49</v>
      </c>
      <c r="O21" s="4">
        <v>177157.11</v>
      </c>
      <c r="P21" s="4">
        <v>211876.2</v>
      </c>
      <c r="Q21" s="4">
        <v>230234.51</v>
      </c>
      <c r="R21" s="4">
        <v>250020.56</v>
      </c>
      <c r="S21" s="4">
        <v>273093.77</v>
      </c>
      <c r="T21" s="4">
        <v>263737.62</v>
      </c>
      <c r="U21" s="4">
        <v>265253.76</v>
      </c>
      <c r="V21" s="4">
        <v>278852.92</v>
      </c>
      <c r="W21" s="4">
        <v>279636.13</v>
      </c>
      <c r="X21" s="4">
        <v>340297.67</v>
      </c>
      <c r="Y21" s="4">
        <v>324331.31</v>
      </c>
      <c r="Z21" s="4">
        <v>354626.82</v>
      </c>
      <c r="AA21" s="4">
        <v>356018.49</v>
      </c>
      <c r="AB21" s="4">
        <v>369653.06</v>
      </c>
      <c r="AC21" s="4">
        <v>407621.04</v>
      </c>
      <c r="AD21" s="4">
        <v>463844.17</v>
      </c>
      <c r="AE21" s="4">
        <v>848787.25</v>
      </c>
      <c r="AF21" s="4">
        <v>1188197.59</v>
      </c>
    </row>
    <row r="22">
      <c r="A22" s="3" t="s">
        <v>19</v>
      </c>
      <c r="B22" s="4">
        <v>19848.31</v>
      </c>
      <c r="C22" s="4">
        <v>45198.55</v>
      </c>
      <c r="D22" s="4">
        <v>46360.33</v>
      </c>
      <c r="E22" s="4">
        <v>35006.59</v>
      </c>
      <c r="F22" s="4">
        <v>52570.62</v>
      </c>
      <c r="G22" s="4">
        <v>41808.18</v>
      </c>
      <c r="H22" s="4">
        <v>43625.39</v>
      </c>
      <c r="I22" s="4">
        <v>46543.11</v>
      </c>
      <c r="J22" s="4">
        <v>47319.32</v>
      </c>
      <c r="K22" s="4">
        <v>27615.7</v>
      </c>
      <c r="L22" s="4">
        <v>8841.94</v>
      </c>
      <c r="M22" s="4">
        <v>33212.81</v>
      </c>
      <c r="N22" s="4">
        <v>23341.4</v>
      </c>
      <c r="O22" s="4">
        <v>24460.05</v>
      </c>
      <c r="P22" s="4">
        <v>30261.43</v>
      </c>
      <c r="Q22" s="4">
        <v>38846.48</v>
      </c>
      <c r="R22" s="4">
        <v>43196.83</v>
      </c>
      <c r="S22" s="4">
        <v>64976.18</v>
      </c>
      <c r="T22" s="4">
        <v>63416.25</v>
      </c>
      <c r="U22" s="4">
        <v>63557.45</v>
      </c>
      <c r="V22" s="4">
        <v>65372.6</v>
      </c>
      <c r="W22" s="4">
        <v>61744.27</v>
      </c>
      <c r="X22" s="4">
        <v>43855.24</v>
      </c>
      <c r="Y22" s="4">
        <v>59187.25</v>
      </c>
      <c r="Z22" s="4">
        <v>52143.62</v>
      </c>
      <c r="AA22" s="4">
        <v>43468.7</v>
      </c>
      <c r="AB22" s="4">
        <v>44544.29</v>
      </c>
      <c r="AC22" s="4">
        <v>60263.62</v>
      </c>
      <c r="AD22" s="4">
        <v>115842.46</v>
      </c>
      <c r="AE22" s="4">
        <v>189606.72</v>
      </c>
      <c r="AF22" s="4">
        <v>257661.45</v>
      </c>
    </row>
    <row r="23">
      <c r="A23" s="3" t="s">
        <v>20</v>
      </c>
      <c r="B23" s="4">
        <v>123486.51</v>
      </c>
      <c r="C23" s="4">
        <v>115356.55</v>
      </c>
      <c r="D23" s="4">
        <v>145444.4</v>
      </c>
      <c r="E23" s="4">
        <v>106493.1</v>
      </c>
      <c r="F23" s="4">
        <v>82118.74</v>
      </c>
      <c r="G23" s="4">
        <v>81557.49</v>
      </c>
      <c r="H23" s="4">
        <v>76001.83</v>
      </c>
      <c r="I23" s="4">
        <v>79674.18</v>
      </c>
      <c r="J23" s="4">
        <v>79101.22</v>
      </c>
      <c r="K23" s="4">
        <v>75017.96</v>
      </c>
      <c r="L23" s="4">
        <v>56775.94</v>
      </c>
      <c r="M23" s="4">
        <v>59692.58</v>
      </c>
      <c r="N23" s="4">
        <v>64041.09</v>
      </c>
      <c r="O23" s="4">
        <v>53023.84</v>
      </c>
      <c r="P23" s="4">
        <v>63128.95</v>
      </c>
      <c r="Q23" s="4">
        <v>74032.79</v>
      </c>
      <c r="R23" s="4">
        <v>80048.04</v>
      </c>
      <c r="S23" s="4">
        <v>80261.98</v>
      </c>
      <c r="T23" s="4">
        <v>88641.19</v>
      </c>
      <c r="U23" s="4">
        <v>79848.71</v>
      </c>
      <c r="V23" s="4">
        <v>83382.54</v>
      </c>
      <c r="W23" s="4">
        <v>82780.76</v>
      </c>
      <c r="X23" s="4">
        <v>87358.78</v>
      </c>
      <c r="Y23" s="4">
        <v>95154.17</v>
      </c>
      <c r="Z23" s="4">
        <v>103273.76</v>
      </c>
      <c r="AA23" s="4">
        <v>89215.49</v>
      </c>
      <c r="AB23" s="4">
        <v>70542.1</v>
      </c>
      <c r="AC23" s="4">
        <v>97044.26</v>
      </c>
      <c r="AD23" s="4">
        <v>112775.88</v>
      </c>
      <c r="AE23" s="4">
        <v>157825.05</v>
      </c>
      <c r="AF23" s="4">
        <v>212366.2</v>
      </c>
    </row>
    <row r="24">
      <c r="A24" s="3" t="s">
        <v>21</v>
      </c>
      <c r="B24" s="4">
        <v>7816.0</v>
      </c>
      <c r="C24" s="4">
        <v>4208.0</v>
      </c>
      <c r="D24" s="4">
        <v>8132.0</v>
      </c>
      <c r="E24" s="4">
        <v>3595.0</v>
      </c>
      <c r="F24" s="4">
        <v>6571.0</v>
      </c>
      <c r="G24" s="4">
        <v>6170.0</v>
      </c>
      <c r="H24" s="4">
        <v>3092.0</v>
      </c>
      <c r="I24" s="4">
        <v>1308.0</v>
      </c>
      <c r="J24" s="4">
        <v>5901.0</v>
      </c>
      <c r="K24" s="4">
        <v>4510.0</v>
      </c>
      <c r="L24" s="4">
        <v>1570.0</v>
      </c>
      <c r="M24" s="4">
        <v>8808.0</v>
      </c>
      <c r="N24" s="4">
        <v>3876.5</v>
      </c>
      <c r="O24" s="4">
        <v>4506.5</v>
      </c>
      <c r="P24" s="4">
        <v>8220.0</v>
      </c>
      <c r="Q24" s="4">
        <v>7210.0</v>
      </c>
      <c r="R24" s="4">
        <v>4030.0</v>
      </c>
      <c r="S24" s="4">
        <v>5660.0</v>
      </c>
      <c r="T24" s="4">
        <v>9465.0</v>
      </c>
      <c r="U24" s="4">
        <v>4934.99</v>
      </c>
      <c r="V24" s="4">
        <v>4660.0</v>
      </c>
      <c r="W24" s="4">
        <v>5233.12</v>
      </c>
      <c r="X24" s="4">
        <v>4413.0</v>
      </c>
      <c r="Y24" s="4">
        <v>8584.0</v>
      </c>
      <c r="Z24" s="4">
        <v>10552.0</v>
      </c>
      <c r="AA24" s="4">
        <v>13721.05</v>
      </c>
      <c r="AB24" s="4">
        <v>7384.0</v>
      </c>
      <c r="AC24" s="4">
        <v>7414.0</v>
      </c>
      <c r="AD24" s="4">
        <v>4409.0</v>
      </c>
      <c r="AE24" s="4">
        <v>3000.0</v>
      </c>
      <c r="AF24" s="4">
        <v>1310.0</v>
      </c>
    </row>
    <row r="25">
      <c r="A25" s="3" t="s">
        <v>22</v>
      </c>
      <c r="B25" s="4">
        <v>115354.64</v>
      </c>
      <c r="C25" s="4">
        <v>102062.25</v>
      </c>
      <c r="D25" s="4">
        <v>112444.42</v>
      </c>
      <c r="E25" s="4">
        <v>99867.83</v>
      </c>
      <c r="F25" s="4">
        <v>144413.29</v>
      </c>
      <c r="G25" s="4">
        <v>117746.84</v>
      </c>
      <c r="H25" s="4">
        <v>103967.68</v>
      </c>
      <c r="I25" s="4">
        <v>105797.88</v>
      </c>
      <c r="J25" s="4">
        <v>101455.75</v>
      </c>
      <c r="K25" s="4">
        <v>98187.45</v>
      </c>
      <c r="L25" s="4">
        <v>92402.43</v>
      </c>
      <c r="M25" s="4">
        <v>95560.99</v>
      </c>
      <c r="N25" s="4">
        <v>105232.47</v>
      </c>
      <c r="O25" s="4">
        <v>90099.18</v>
      </c>
      <c r="P25" s="4">
        <v>108289.77</v>
      </c>
      <c r="Q25" s="4">
        <v>119533.49</v>
      </c>
      <c r="R25" s="4">
        <v>129871.03</v>
      </c>
      <c r="S25" s="4">
        <v>140742.89</v>
      </c>
      <c r="T25" s="4">
        <v>136669.82</v>
      </c>
      <c r="U25" s="4">
        <v>136847.48</v>
      </c>
      <c r="V25" s="4">
        <v>140078.9</v>
      </c>
      <c r="W25" s="4">
        <v>160789.77</v>
      </c>
      <c r="X25" s="4">
        <v>190159.14</v>
      </c>
      <c r="Y25" s="4">
        <v>212785.8</v>
      </c>
      <c r="Z25" s="4">
        <v>207559.76</v>
      </c>
      <c r="AA25" s="4">
        <v>188884.11</v>
      </c>
      <c r="AB25" s="4">
        <v>190234.2</v>
      </c>
      <c r="AC25" s="4">
        <v>193288.24</v>
      </c>
      <c r="AD25" s="4">
        <v>275831.37</v>
      </c>
      <c r="AE25" s="4">
        <v>497036.34</v>
      </c>
      <c r="AF25" s="4">
        <v>652902.7</v>
      </c>
    </row>
    <row r="26">
      <c r="A26" s="3" t="s">
        <v>23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357.0</v>
      </c>
      <c r="H26" s="4">
        <v>3049.0</v>
      </c>
      <c r="I26" s="4">
        <v>3742.0</v>
      </c>
      <c r="J26" s="4">
        <v>4044.0</v>
      </c>
      <c r="K26" s="4">
        <v>3541.0</v>
      </c>
      <c r="L26" s="4">
        <v>3730.0</v>
      </c>
      <c r="M26" s="4">
        <v>3413.0</v>
      </c>
      <c r="N26" s="4">
        <v>10707.22</v>
      </c>
      <c r="O26" s="4">
        <v>9536.69</v>
      </c>
      <c r="P26" s="4">
        <v>10703.27</v>
      </c>
      <c r="Q26" s="4">
        <v>13247.6</v>
      </c>
      <c r="R26" s="4">
        <v>12585.34</v>
      </c>
      <c r="S26" s="4">
        <v>15519.19</v>
      </c>
      <c r="T26" s="4">
        <v>12685.96</v>
      </c>
      <c r="U26" s="4">
        <v>15175.9</v>
      </c>
      <c r="V26" s="4">
        <v>15752.22</v>
      </c>
      <c r="W26" s="4">
        <v>14896.18</v>
      </c>
      <c r="X26" s="4">
        <v>18675.52</v>
      </c>
      <c r="Y26" s="4">
        <v>18875.17</v>
      </c>
      <c r="Z26" s="4">
        <v>795.0</v>
      </c>
      <c r="AA26" s="4">
        <v>240.0</v>
      </c>
      <c r="AB26" s="4">
        <v>225.0</v>
      </c>
      <c r="AC26" s="4">
        <v>405.0</v>
      </c>
      <c r="AD26" s="4">
        <v>0.0</v>
      </c>
      <c r="AE26" s="4"/>
      <c r="AF26" s="4">
        <v>0.0</v>
      </c>
    </row>
    <row r="27">
      <c r="A27" s="9" t="s">
        <v>24</v>
      </c>
      <c r="B27" s="6">
        <v>79400.0</v>
      </c>
      <c r="C27" s="6">
        <v>67620.0</v>
      </c>
      <c r="D27" s="6">
        <v>79360.0</v>
      </c>
      <c r="E27" s="6">
        <v>72620.0</v>
      </c>
      <c r="F27" s="6">
        <v>71140.0</v>
      </c>
      <c r="G27" s="6">
        <v>62920.0</v>
      </c>
      <c r="H27" s="6">
        <v>46190.0</v>
      </c>
      <c r="I27" s="6">
        <v>55650.0</v>
      </c>
      <c r="J27" s="6">
        <v>62030.0</v>
      </c>
      <c r="K27" s="6">
        <v>53300.0</v>
      </c>
      <c r="L27" s="6">
        <v>57450.0</v>
      </c>
      <c r="M27" s="6">
        <v>53480.0</v>
      </c>
      <c r="N27" s="6">
        <v>52665.0</v>
      </c>
      <c r="O27" s="6">
        <v>41115.0</v>
      </c>
      <c r="P27" s="6">
        <v>58875.0</v>
      </c>
      <c r="Q27" s="6">
        <v>63735.0</v>
      </c>
      <c r="R27" s="6">
        <v>71265.0</v>
      </c>
      <c r="S27" s="6">
        <v>66630.0</v>
      </c>
      <c r="T27" s="6">
        <v>57060.0</v>
      </c>
      <c r="U27" s="6">
        <v>56550.0</v>
      </c>
      <c r="V27" s="6">
        <v>60525.0</v>
      </c>
      <c r="W27" s="6">
        <v>71895.0</v>
      </c>
      <c r="X27" s="6">
        <v>75795.0</v>
      </c>
      <c r="Y27" s="6">
        <v>86880.0</v>
      </c>
      <c r="Z27" s="6">
        <v>87795.0</v>
      </c>
      <c r="AA27" s="6">
        <v>76590.0</v>
      </c>
      <c r="AB27" s="6">
        <v>79860.0</v>
      </c>
      <c r="AC27" s="6">
        <v>110835.0</v>
      </c>
      <c r="AD27" s="6">
        <v>229770.0</v>
      </c>
      <c r="AE27" s="6">
        <v>371385.0</v>
      </c>
      <c r="AF27" s="6">
        <v>349280.0</v>
      </c>
    </row>
    <row r="28">
      <c r="A28" s="3" t="s">
        <v>25</v>
      </c>
      <c r="B28" s="4">
        <v>570326.1000000001</v>
      </c>
      <c r="C28" s="4">
        <v>541605.55</v>
      </c>
      <c r="D28" s="4">
        <v>612974.24</v>
      </c>
      <c r="E28" s="4">
        <v>508694.55</v>
      </c>
      <c r="F28" s="4">
        <v>607244.74</v>
      </c>
      <c r="G28" s="4">
        <v>540909.2</v>
      </c>
      <c r="H28" s="4">
        <v>480039.10000000003</v>
      </c>
      <c r="I28" s="4">
        <v>495537.84</v>
      </c>
      <c r="J28" s="4">
        <v>500227.93000000005</v>
      </c>
      <c r="K28" s="4">
        <v>454656.23000000004</v>
      </c>
      <c r="L28" s="4">
        <v>404468.15</v>
      </c>
      <c r="M28" s="4">
        <v>444683.45999999996</v>
      </c>
      <c r="N28" s="4">
        <v>464596.1699999999</v>
      </c>
      <c r="O28" s="4">
        <v>399898.36999999994</v>
      </c>
      <c r="P28" s="4">
        <v>491354.62000000005</v>
      </c>
      <c r="Q28" s="4">
        <v>546839.8699999999</v>
      </c>
      <c r="R28" s="4">
        <v>591016.8</v>
      </c>
      <c r="S28" s="4">
        <v>646884.01</v>
      </c>
      <c r="T28" s="4">
        <v>631675.84</v>
      </c>
      <c r="U28" s="4">
        <v>622168.29</v>
      </c>
      <c r="V28" s="4">
        <v>648624.1799999999</v>
      </c>
      <c r="W28" s="4">
        <v>676975.2300000001</v>
      </c>
      <c r="X28" s="4">
        <v>760554.35</v>
      </c>
      <c r="Y28" s="4">
        <v>805797.7000000001</v>
      </c>
      <c r="Z28" s="4">
        <v>816745.96</v>
      </c>
      <c r="AA28" s="4">
        <v>768137.84</v>
      </c>
      <c r="AB28" s="4">
        <v>762442.6499999999</v>
      </c>
      <c r="AC28" s="4">
        <v>876871.1599999999</v>
      </c>
      <c r="AD28" s="4">
        <v>1202472.88</v>
      </c>
      <c r="AE28" s="4">
        <v>2067640.36</v>
      </c>
      <c r="AF28" s="4">
        <v>2661717.94</v>
      </c>
    </row>
    <row r="29">
      <c r="A29" s="3" t="s">
        <v>15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>
        <v>0.0</v>
      </c>
    </row>
    <row r="30">
      <c r="A30" s="10" t="s">
        <v>26</v>
      </c>
      <c r="B30" s="11">
        <v>1257668.9400000002</v>
      </c>
      <c r="C30" s="11">
        <v>1090615.01</v>
      </c>
      <c r="D30" s="11">
        <v>1424443.43</v>
      </c>
      <c r="E30" s="11">
        <v>1280635.21</v>
      </c>
      <c r="F30" s="11">
        <v>1552937.9600000002</v>
      </c>
      <c r="G30" s="11">
        <v>1606740.1900000002</v>
      </c>
      <c r="H30" s="11">
        <v>1279049.16</v>
      </c>
      <c r="I30" s="11">
        <v>1419816.49</v>
      </c>
      <c r="J30" s="11">
        <v>1376994.17</v>
      </c>
      <c r="K30" s="11">
        <v>1293401.25</v>
      </c>
      <c r="L30" s="11">
        <v>1340913.81</v>
      </c>
      <c r="M30" s="11">
        <v>1408966.4199999997</v>
      </c>
      <c r="N30" s="11">
        <v>1496165.39</v>
      </c>
      <c r="O30" s="11">
        <v>1271546.7000000002</v>
      </c>
      <c r="P30" s="11">
        <v>1499802.93</v>
      </c>
      <c r="Q30" s="11">
        <v>1570215.76</v>
      </c>
      <c r="R30" s="11">
        <v>1710102.0099999995</v>
      </c>
      <c r="S30" s="11">
        <v>1801363.49</v>
      </c>
      <c r="T30" s="11">
        <v>1751015.1600000001</v>
      </c>
      <c r="U30" s="11">
        <v>1604491.52</v>
      </c>
      <c r="V30" s="11">
        <v>1759669.8700000003</v>
      </c>
      <c r="W30" s="11">
        <v>1888329.83</v>
      </c>
      <c r="X30" s="11">
        <v>2007230.6999999997</v>
      </c>
      <c r="Y30" s="11">
        <v>2248606.7099999995</v>
      </c>
      <c r="Z30" s="11">
        <v>2312678.7800000003</v>
      </c>
      <c r="AA30" s="11">
        <v>2262177.44</v>
      </c>
      <c r="AB30" s="11">
        <v>2345027.3000000003</v>
      </c>
      <c r="AC30" s="11">
        <v>2625500.95</v>
      </c>
      <c r="AD30" s="11">
        <v>4029957.0599999996</v>
      </c>
      <c r="AE30" s="11">
        <v>5779506.9799999995</v>
      </c>
      <c r="AF30" s="11">
        <v>8182724.49</v>
      </c>
    </row>
    <row r="3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2">
        <v>0.7357767096668126</v>
      </c>
      <c r="T31" s="4"/>
      <c r="U31" s="4"/>
      <c r="V31" s="4"/>
      <c r="W31" s="4"/>
      <c r="X31" s="4"/>
      <c r="Y31" s="4"/>
      <c r="Z31" s="13">
        <v>0.7390108317479461</v>
      </c>
      <c r="AA31" s="13">
        <v>0.7465155374855913</v>
      </c>
      <c r="AB31" s="13">
        <v>0.75464198776886</v>
      </c>
      <c r="AC31" s="13">
        <v>0.7496350666177501</v>
      </c>
      <c r="AD31" s="13">
        <v>0.7701884413573247</v>
      </c>
      <c r="AE31" s="13">
        <v>0.7365105725158971</v>
      </c>
      <c r="AF31" s="13">
        <v>0.7545546525622526</v>
      </c>
    </row>
    <row r="32">
      <c r="A32" s="3" t="s">
        <v>27</v>
      </c>
      <c r="B32" s="4">
        <v>520572.19</v>
      </c>
      <c r="C32" s="4">
        <v>488902.69</v>
      </c>
      <c r="D32" s="4">
        <v>534149.28</v>
      </c>
      <c r="E32" s="4">
        <v>572804.24</v>
      </c>
      <c r="F32" s="4">
        <v>778669.87</v>
      </c>
      <c r="G32" s="4">
        <v>586652.9</v>
      </c>
      <c r="H32" s="4">
        <v>234194.05</v>
      </c>
      <c r="I32" s="4">
        <v>456768.09</v>
      </c>
      <c r="J32" s="4">
        <v>521381.91</v>
      </c>
      <c r="K32" s="4">
        <v>480334.49</v>
      </c>
      <c r="L32" s="4">
        <v>592330.41</v>
      </c>
      <c r="M32" s="4">
        <v>672275.46</v>
      </c>
      <c r="N32" s="4">
        <v>571055.52</v>
      </c>
      <c r="O32" s="4">
        <v>367598.62</v>
      </c>
      <c r="P32" s="4">
        <v>615032.54</v>
      </c>
      <c r="Q32" s="4">
        <v>735056.54</v>
      </c>
      <c r="R32" s="4">
        <v>752029.65</v>
      </c>
      <c r="S32" s="4">
        <v>738076.64</v>
      </c>
      <c r="T32" s="4">
        <v>767048.56</v>
      </c>
      <c r="U32" s="4">
        <v>796644.63</v>
      </c>
      <c r="V32" s="4">
        <v>657748.07</v>
      </c>
      <c r="W32" s="4">
        <v>855742.21</v>
      </c>
      <c r="X32" s="4">
        <v>838583.61</v>
      </c>
      <c r="Y32" s="4">
        <v>823334.11</v>
      </c>
      <c r="Z32" s="4">
        <v>858218.81</v>
      </c>
      <c r="AA32" s="4">
        <v>834905.04</v>
      </c>
      <c r="AB32" s="4">
        <v>916150.59</v>
      </c>
      <c r="AC32" s="4">
        <v>1121800.24</v>
      </c>
      <c r="AD32" s="4">
        <v>2142458.11</v>
      </c>
      <c r="AE32" s="4">
        <v>3216065.05</v>
      </c>
      <c r="AF32" s="4">
        <v>4479818.2</v>
      </c>
    </row>
    <row r="33">
      <c r="A33" s="3" t="s">
        <v>28</v>
      </c>
      <c r="B33" s="4">
        <v>81614.78</v>
      </c>
      <c r="C33" s="4">
        <v>66069.31</v>
      </c>
      <c r="D33" s="4">
        <v>75030.99</v>
      </c>
      <c r="E33" s="4">
        <v>52783.97</v>
      </c>
      <c r="F33" s="4">
        <v>62255.06</v>
      </c>
      <c r="G33" s="4">
        <v>85839.77</v>
      </c>
      <c r="H33" s="4">
        <v>66727.73</v>
      </c>
      <c r="I33" s="4">
        <v>139359.05</v>
      </c>
      <c r="J33" s="4">
        <v>112042.68</v>
      </c>
      <c r="K33" s="4">
        <v>105364.01</v>
      </c>
      <c r="L33" s="4">
        <v>99931.28</v>
      </c>
      <c r="M33" s="4">
        <v>75373.1</v>
      </c>
      <c r="N33" s="4">
        <v>118892.69</v>
      </c>
      <c r="O33" s="4">
        <v>153222.78</v>
      </c>
      <c r="P33" s="4">
        <v>242791.68</v>
      </c>
      <c r="Q33" s="4">
        <v>216934.39</v>
      </c>
      <c r="R33" s="4">
        <v>270188.89</v>
      </c>
      <c r="S33" s="4">
        <v>257839.14</v>
      </c>
      <c r="T33" s="4">
        <v>259163.31</v>
      </c>
      <c r="U33" s="4">
        <v>258689.37</v>
      </c>
      <c r="V33" s="4">
        <v>237244.26</v>
      </c>
      <c r="W33" s="4">
        <v>165937.73</v>
      </c>
      <c r="X33" s="4">
        <v>189445.5</v>
      </c>
      <c r="Y33" s="4">
        <v>265471.77</v>
      </c>
      <c r="Z33" s="4">
        <v>294709.44</v>
      </c>
      <c r="AA33" s="4">
        <v>300729.04</v>
      </c>
      <c r="AB33" s="4">
        <v>335438.41</v>
      </c>
      <c r="AC33" s="4">
        <v>367152.52</v>
      </c>
      <c r="AD33" s="4">
        <v>958362.06</v>
      </c>
      <c r="AE33" s="4">
        <v>1819770.0</v>
      </c>
      <c r="AF33" s="4">
        <v>2125000.0</v>
      </c>
    </row>
    <row r="34">
      <c r="A34" s="3" t="s">
        <v>29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>
        <v>4539.5</v>
      </c>
      <c r="O34" s="4">
        <v>6260.02</v>
      </c>
      <c r="P34" s="4">
        <v>8873.87</v>
      </c>
      <c r="Q34" s="4">
        <v>9992.34</v>
      </c>
      <c r="R34" s="4">
        <v>18956.96</v>
      </c>
      <c r="S34" s="4">
        <v>26404.73</v>
      </c>
      <c r="T34" s="4">
        <v>78500.08</v>
      </c>
      <c r="U34" s="4">
        <v>70132.32</v>
      </c>
      <c r="V34" s="4">
        <v>85965.92</v>
      </c>
      <c r="W34" s="4">
        <v>71672.4</v>
      </c>
      <c r="X34" s="4">
        <v>44269.07</v>
      </c>
      <c r="Y34" s="4">
        <v>37624.16</v>
      </c>
      <c r="Z34" s="4">
        <v>43380.01</v>
      </c>
      <c r="AA34" s="4">
        <v>22609.34</v>
      </c>
      <c r="AB34" s="4">
        <v>12516.33</v>
      </c>
      <c r="AC34" s="4">
        <v>30072.91</v>
      </c>
      <c r="AD34" s="4">
        <v>60211.23</v>
      </c>
      <c r="AE34" s="4">
        <v>55211.42</v>
      </c>
      <c r="AF34" s="4">
        <v>52616.66</v>
      </c>
    </row>
    <row r="35">
      <c r="A35" s="3" t="s">
        <v>30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1100.51</v>
      </c>
      <c r="U35" s="4">
        <v>9236.68</v>
      </c>
      <c r="V35" s="4">
        <v>28564.46</v>
      </c>
      <c r="W35" s="4">
        <v>97261.48</v>
      </c>
      <c r="X35" s="4">
        <v>155672.42</v>
      </c>
      <c r="Y35" s="4">
        <v>177211.9</v>
      </c>
      <c r="Z35" s="4">
        <v>225444.98</v>
      </c>
      <c r="AA35" s="4">
        <v>88892.93</v>
      </c>
      <c r="AB35" s="4">
        <v>41262.03</v>
      </c>
      <c r="AC35" s="4">
        <v>0.0</v>
      </c>
      <c r="AD35" s="4">
        <v>0.0</v>
      </c>
      <c r="AE35" s="4"/>
      <c r="AF35" s="4">
        <v>0.0</v>
      </c>
    </row>
    <row r="36">
      <c r="A36" s="3" t="s">
        <v>31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2470.02</v>
      </c>
      <c r="V36" s="4">
        <v>10915.07</v>
      </c>
      <c r="W36" s="4">
        <v>22765.68</v>
      </c>
      <c r="X36" s="4">
        <v>78163.37</v>
      </c>
      <c r="Y36" s="4">
        <v>89211.02</v>
      </c>
      <c r="Z36" s="4">
        <v>106913.92</v>
      </c>
      <c r="AA36" s="4">
        <v>150423.88</v>
      </c>
      <c r="AB36" s="4">
        <v>230295.06</v>
      </c>
      <c r="AC36" s="4">
        <v>168646.08</v>
      </c>
      <c r="AD36" s="4">
        <v>547517.57</v>
      </c>
      <c r="AE36" s="4">
        <v>564703.26</v>
      </c>
      <c r="AF36" s="4">
        <v>660000.0</v>
      </c>
    </row>
    <row r="37">
      <c r="A37" s="3" t="s">
        <v>32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>
        <v>7646.08</v>
      </c>
      <c r="O37" s="4">
        <v>15278.05</v>
      </c>
      <c r="P37" s="4">
        <v>18550.5</v>
      </c>
      <c r="Q37" s="4">
        <v>17738.04</v>
      </c>
      <c r="R37" s="4">
        <v>18745.32</v>
      </c>
      <c r="S37" s="4">
        <v>14318.01</v>
      </c>
      <c r="T37" s="4">
        <v>14787.99</v>
      </c>
      <c r="U37" s="4">
        <v>14774.51</v>
      </c>
      <c r="V37" s="4">
        <v>15616.38</v>
      </c>
      <c r="W37" s="4">
        <v>10490.0</v>
      </c>
      <c r="X37" s="4">
        <v>5070.27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/>
      <c r="AF37" s="4">
        <v>0.0</v>
      </c>
    </row>
    <row r="38">
      <c r="A38" s="3" t="s">
        <v>33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>
        <v>0.0</v>
      </c>
      <c r="AA38" s="4">
        <v>0.0</v>
      </c>
      <c r="AB38" s="4">
        <v>0.0</v>
      </c>
      <c r="AC38" s="4">
        <v>0.0</v>
      </c>
      <c r="AD38" s="4">
        <v>37955.01</v>
      </c>
      <c r="AE38" s="4">
        <v>64563.37</v>
      </c>
      <c r="AF38" s="4">
        <v>86597.77</v>
      </c>
    </row>
    <row r="39">
      <c r="A39" s="3" t="s">
        <v>34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500.0</v>
      </c>
      <c r="Z39" s="4">
        <v>0.0</v>
      </c>
      <c r="AA39" s="4">
        <v>500.0</v>
      </c>
      <c r="AB39" s="4">
        <v>2000.0</v>
      </c>
      <c r="AC39" s="4">
        <v>0.0</v>
      </c>
      <c r="AD39" s="4">
        <v>14000.0</v>
      </c>
      <c r="AE39" s="4"/>
      <c r="AF39" s="4">
        <v>0.0</v>
      </c>
    </row>
    <row r="40">
      <c r="A40" s="3" t="s">
        <v>35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>
        <v>0.0</v>
      </c>
      <c r="AA40" s="4">
        <v>0.0</v>
      </c>
      <c r="AB40" s="4">
        <v>0.0</v>
      </c>
      <c r="AC40" s="4">
        <v>0.0</v>
      </c>
      <c r="AD40" s="4">
        <v>13500.0</v>
      </c>
      <c r="AE40" s="4">
        <v>163781.0</v>
      </c>
      <c r="AF40" s="4">
        <v>262524.42</v>
      </c>
    </row>
    <row r="41">
      <c r="A41" s="3" t="s">
        <v>36</v>
      </c>
      <c r="B41" s="4">
        <v>201.0</v>
      </c>
      <c r="C41" s="4">
        <v>3.0</v>
      </c>
      <c r="D41" s="4">
        <v>38946.0</v>
      </c>
      <c r="E41" s="4">
        <v>2930.92</v>
      </c>
      <c r="F41" s="4">
        <v>75000.0</v>
      </c>
      <c r="G41" s="4">
        <v>67296.78</v>
      </c>
      <c r="H41" s="4">
        <v>11800.0</v>
      </c>
      <c r="I41" s="4">
        <v>6250.0</v>
      </c>
      <c r="J41" s="4">
        <v>11893.27</v>
      </c>
      <c r="K41" s="4">
        <v>13928.79</v>
      </c>
      <c r="L41" s="4">
        <v>10000.0</v>
      </c>
      <c r="M41" s="4">
        <v>12043.4</v>
      </c>
      <c r="N41" s="4">
        <v>10000.0</v>
      </c>
      <c r="O41" s="4">
        <v>8500.0</v>
      </c>
      <c r="P41" s="4">
        <v>17472.49</v>
      </c>
      <c r="Q41" s="4">
        <v>16775.63</v>
      </c>
      <c r="R41" s="4">
        <v>18323.32</v>
      </c>
      <c r="S41" s="4">
        <v>3011.09</v>
      </c>
      <c r="T41" s="4">
        <v>0.0</v>
      </c>
      <c r="U41" s="4">
        <v>200.0</v>
      </c>
      <c r="V41" s="4">
        <v>1235.0</v>
      </c>
      <c r="W41" s="4">
        <v>1100.0</v>
      </c>
      <c r="X41" s="4">
        <v>4800.0</v>
      </c>
      <c r="Y41" s="4">
        <v>16169.41</v>
      </c>
      <c r="Z41" s="4">
        <v>57430.51</v>
      </c>
      <c r="AA41" s="4">
        <v>107681.63</v>
      </c>
      <c r="AB41" s="4">
        <v>84054.39</v>
      </c>
      <c r="AC41" s="4">
        <v>36344.2</v>
      </c>
      <c r="AD41" s="4">
        <v>54970.82</v>
      </c>
      <c r="AE41" s="4">
        <v>87226.66</v>
      </c>
      <c r="AF41" s="4">
        <v>581597.39</v>
      </c>
    </row>
    <row r="42">
      <c r="A42" s="3" t="s">
        <v>37</v>
      </c>
      <c r="B42" s="4">
        <v>58666.49</v>
      </c>
      <c r="C42" s="4">
        <v>62543.72</v>
      </c>
      <c r="D42" s="4">
        <v>34021.51</v>
      </c>
      <c r="E42" s="4">
        <v>46458.88</v>
      </c>
      <c r="F42" s="4">
        <v>54822.19</v>
      </c>
      <c r="G42" s="4">
        <v>29754.53</v>
      </c>
      <c r="H42" s="4">
        <v>44972.81</v>
      </c>
      <c r="I42" s="4">
        <v>46848.91</v>
      </c>
      <c r="J42" s="4">
        <v>43379.19</v>
      </c>
      <c r="K42" s="4">
        <v>39357.07</v>
      </c>
      <c r="L42" s="4">
        <v>31925.45</v>
      </c>
      <c r="M42" s="4">
        <v>26307.63</v>
      </c>
      <c r="N42" s="4">
        <v>81781.76</v>
      </c>
      <c r="O42" s="4">
        <v>59557.69</v>
      </c>
      <c r="P42" s="4">
        <v>85540.47</v>
      </c>
      <c r="Q42" s="4">
        <v>122804.68</v>
      </c>
      <c r="R42" s="4">
        <v>109984.41</v>
      </c>
      <c r="S42" s="4">
        <v>117582.53</v>
      </c>
      <c r="T42" s="4">
        <v>121006.74</v>
      </c>
      <c r="U42" s="4">
        <v>180474.51</v>
      </c>
      <c r="V42" s="4">
        <v>86909.94</v>
      </c>
      <c r="W42" s="4">
        <v>133700.86</v>
      </c>
      <c r="X42" s="4">
        <v>140991.0</v>
      </c>
      <c r="Y42" s="4">
        <v>238216.96</v>
      </c>
      <c r="Z42" s="4">
        <v>93071.4</v>
      </c>
      <c r="AA42" s="4">
        <v>136651.38</v>
      </c>
      <c r="AB42" s="4">
        <v>53882.01</v>
      </c>
      <c r="AC42" s="4">
        <v>84004.5</v>
      </c>
      <c r="AD42" s="4">
        <v>122847.37</v>
      </c>
      <c r="AE42" s="4">
        <v>179491.24</v>
      </c>
      <c r="AF42" s="4">
        <v>244546.53</v>
      </c>
    </row>
    <row r="43">
      <c r="A43" s="3" t="s">
        <v>38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>
        <v>91575.0</v>
      </c>
      <c r="AF43" s="4">
        <v>192740.0</v>
      </c>
    </row>
    <row r="44">
      <c r="A44" s="3" t="s">
        <v>39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>
        <v>142000.0</v>
      </c>
      <c r="AF44" s="4">
        <v>377000.0</v>
      </c>
    </row>
    <row r="45">
      <c r="A45" s="3" t="s">
        <v>40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>
        <v>10530.0</v>
      </c>
      <c r="AF45" s="4">
        <v>54137.0</v>
      </c>
    </row>
    <row r="46">
      <c r="A46" s="3" t="s">
        <v>41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>
        <v>5176.0</v>
      </c>
      <c r="AE46" s="4">
        <v>3466.0</v>
      </c>
      <c r="AF46" s="4">
        <v>302.0</v>
      </c>
    </row>
    <row r="47">
      <c r="A47" s="9" t="s">
        <v>42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>
        <v>14250.0</v>
      </c>
    </row>
    <row r="48">
      <c r="A48" s="3" t="s">
        <v>43</v>
      </c>
      <c r="B48" s="4">
        <v>661054.46</v>
      </c>
      <c r="C48" s="4">
        <v>617518.72</v>
      </c>
      <c r="D48" s="4">
        <v>682147.78</v>
      </c>
      <c r="E48" s="4">
        <v>674978.01</v>
      </c>
      <c r="F48" s="4">
        <v>970747.1199999999</v>
      </c>
      <c r="G48" s="4">
        <v>769543.9800000001</v>
      </c>
      <c r="H48" s="4">
        <v>357694.58999999997</v>
      </c>
      <c r="I48" s="4">
        <v>649226.05</v>
      </c>
      <c r="J48" s="4">
        <v>688697.05</v>
      </c>
      <c r="K48" s="4">
        <v>638984.36</v>
      </c>
      <c r="L48" s="4">
        <v>734187.14</v>
      </c>
      <c r="M48" s="4">
        <v>785999.59</v>
      </c>
      <c r="N48" s="4">
        <v>793915.5499999999</v>
      </c>
      <c r="O48" s="4">
        <v>610417.1600000001</v>
      </c>
      <c r="P48" s="4">
        <v>988261.5499999999</v>
      </c>
      <c r="Q48" s="4">
        <v>1119301.62</v>
      </c>
      <c r="R48" s="4">
        <v>1188228.55</v>
      </c>
      <c r="S48" s="4">
        <v>1157232.14</v>
      </c>
      <c r="T48" s="4">
        <v>1241607.1900000002</v>
      </c>
      <c r="U48" s="4">
        <v>1332622.04</v>
      </c>
      <c r="V48" s="4">
        <v>1124199.0999999999</v>
      </c>
      <c r="W48" s="4">
        <v>1358670.3599999999</v>
      </c>
      <c r="X48" s="4">
        <v>1456995.2399999998</v>
      </c>
      <c r="Y48" s="4">
        <v>1647739.3299999996</v>
      </c>
      <c r="Z48" s="4">
        <v>1679169.0699999998</v>
      </c>
      <c r="AA48" s="4">
        <v>1642393.2399999998</v>
      </c>
      <c r="AB48" s="4">
        <v>1675598.82</v>
      </c>
      <c r="AC48" s="4">
        <v>1808020.45</v>
      </c>
      <c r="AD48" s="4">
        <v>3956998.1699999995</v>
      </c>
      <c r="AE48" s="4">
        <v>6398383.0</v>
      </c>
      <c r="AF48" s="4">
        <v>9131129.969999999</v>
      </c>
    </row>
    <row r="49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10" t="s">
        <v>44</v>
      </c>
      <c r="B50" s="11">
        <v>596614.4800000002</v>
      </c>
      <c r="C50" s="11">
        <v>473096.29000000004</v>
      </c>
      <c r="D50" s="11">
        <v>742295.6499999999</v>
      </c>
      <c r="E50" s="11">
        <v>605657.2</v>
      </c>
      <c r="F50" s="11">
        <v>582190.8400000003</v>
      </c>
      <c r="G50" s="11">
        <v>837196.2100000001</v>
      </c>
      <c r="H50" s="11">
        <v>921354.57</v>
      </c>
      <c r="I50" s="11">
        <v>770590.44</v>
      </c>
      <c r="J50" s="11">
        <v>688297.1199999999</v>
      </c>
      <c r="K50" s="11">
        <v>654416.89</v>
      </c>
      <c r="L50" s="11">
        <v>606726.67</v>
      </c>
      <c r="M50" s="11">
        <v>622966.8299999997</v>
      </c>
      <c r="N50" s="11">
        <v>702249.84</v>
      </c>
      <c r="O50" s="11">
        <v>661129.54</v>
      </c>
      <c r="P50" s="11">
        <v>511541.38</v>
      </c>
      <c r="Q50" s="11">
        <v>450914.1399999999</v>
      </c>
      <c r="R50" s="11">
        <v>521873.4599999995</v>
      </c>
      <c r="S50" s="11">
        <v>644131.3500000001</v>
      </c>
      <c r="T50" s="11">
        <v>509407.97</v>
      </c>
      <c r="U50" s="11">
        <v>271869.48</v>
      </c>
      <c r="V50" s="11">
        <v>635470.7700000005</v>
      </c>
      <c r="W50" s="11">
        <v>529659.4700000002</v>
      </c>
      <c r="X50" s="11">
        <v>550235.46</v>
      </c>
      <c r="Y50" s="11">
        <v>600867.3799999999</v>
      </c>
      <c r="Z50" s="11">
        <v>633509.7100000004</v>
      </c>
      <c r="AA50" s="11">
        <v>619784.2000000002</v>
      </c>
      <c r="AB50" s="11">
        <v>669428.4800000002</v>
      </c>
      <c r="AC50" s="11">
        <v>817480.5000000002</v>
      </c>
      <c r="AD50" s="11">
        <v>72958.89000000013</v>
      </c>
      <c r="AE50" s="11">
        <v>-618876.0200000005</v>
      </c>
      <c r="AF50" s="11">
        <v>-948405.4799999986</v>
      </c>
    </row>
    <row r="5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3" t="s">
        <v>45</v>
      </c>
      <c r="B52" s="4" t="s">
        <v>46</v>
      </c>
      <c r="C52" s="4" t="s">
        <v>46</v>
      </c>
      <c r="D52" s="4" t="s">
        <v>46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  <c r="J52" s="4" t="s">
        <v>46</v>
      </c>
      <c r="K52" s="4" t="s">
        <v>46</v>
      </c>
      <c r="L52" s="4" t="s">
        <v>46</v>
      </c>
      <c r="M52" s="4" t="s">
        <v>46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 t="s">
        <v>46</v>
      </c>
    </row>
    <row r="53">
      <c r="A53" s="3" t="s">
        <v>47</v>
      </c>
      <c r="B53" s="4">
        <v>448.9</v>
      </c>
      <c r="C53" s="4">
        <v>448.9</v>
      </c>
      <c r="D53" s="4">
        <v>448.9</v>
      </c>
      <c r="E53" s="4">
        <v>448.9</v>
      </c>
      <c r="F53" s="4">
        <v>448.9</v>
      </c>
      <c r="G53" s="4">
        <v>448.89</v>
      </c>
      <c r="H53" s="4">
        <v>448.89</v>
      </c>
      <c r="I53" s="4">
        <v>448.89</v>
      </c>
      <c r="J53" s="4">
        <v>448.89</v>
      </c>
      <c r="K53" s="4">
        <v>448.89</v>
      </c>
      <c r="L53" s="4">
        <v>448.9</v>
      </c>
      <c r="M53" s="4">
        <v>0.0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3" t="s">
        <v>48</v>
      </c>
      <c r="B54" s="4">
        <v>340.46</v>
      </c>
      <c r="C54" s="4">
        <v>441.48</v>
      </c>
      <c r="D54" s="4">
        <v>536.84</v>
      </c>
      <c r="E54" s="4">
        <v>643.59</v>
      </c>
      <c r="F54" s="4">
        <v>248.9</v>
      </c>
      <c r="G54" s="4">
        <v>2714.29</v>
      </c>
      <c r="H54" s="4">
        <v>166.25</v>
      </c>
      <c r="I54" s="4">
        <v>3883.35</v>
      </c>
      <c r="J54" s="4">
        <v>166.25</v>
      </c>
      <c r="K54" s="4">
        <v>9604.25</v>
      </c>
      <c r="L54" s="4">
        <v>179.17</v>
      </c>
      <c r="M54" s="4">
        <v>179.17</v>
      </c>
      <c r="N54" s="4">
        <v>425.17</v>
      </c>
      <c r="O54" s="4">
        <v>315.15</v>
      </c>
      <c r="P54" s="4">
        <v>205.87</v>
      </c>
      <c r="Q54" s="4">
        <v>989.16</v>
      </c>
      <c r="R54" s="4">
        <v>16105.26</v>
      </c>
      <c r="S54" s="4">
        <v>179.17</v>
      </c>
      <c r="T54" s="4">
        <v>257.17</v>
      </c>
      <c r="U54" s="4">
        <v>179.17</v>
      </c>
      <c r="V54" s="4">
        <v>6364.17</v>
      </c>
      <c r="W54" s="4">
        <v>1174.24</v>
      </c>
      <c r="X54" s="4">
        <v>4566.81</v>
      </c>
      <c r="Y54" s="4">
        <v>8383.87</v>
      </c>
      <c r="Z54" s="4">
        <v>435.75</v>
      </c>
      <c r="AA54" s="4">
        <v>1145.75</v>
      </c>
      <c r="AB54" s="4">
        <v>4102.31</v>
      </c>
      <c r="AC54" s="4">
        <v>1011.0</v>
      </c>
      <c r="AD54" s="4">
        <v>25723.98</v>
      </c>
      <c r="AE54" s="4">
        <v>7542.35</v>
      </c>
      <c r="AF54" s="4">
        <v>339.0</v>
      </c>
    </row>
    <row r="55">
      <c r="A55" s="3" t="s">
        <v>49</v>
      </c>
      <c r="B55" s="4">
        <v>0.0</v>
      </c>
      <c r="C55" s="4">
        <v>2179.0</v>
      </c>
      <c r="D55" s="4">
        <v>0.0</v>
      </c>
      <c r="E55" s="4">
        <v>1244.75</v>
      </c>
      <c r="F55" s="4">
        <v>118.67</v>
      </c>
      <c r="G55" s="4">
        <v>21100.92</v>
      </c>
      <c r="H55" s="4">
        <v>0.0</v>
      </c>
      <c r="I55" s="4">
        <v>10.81</v>
      </c>
      <c r="J55" s="4">
        <v>16.23</v>
      </c>
      <c r="K55" s="4">
        <v>0.0</v>
      </c>
      <c r="L55" s="4">
        <v>0.0</v>
      </c>
      <c r="M55" s="4">
        <v>0.0</v>
      </c>
      <c r="N55" s="4">
        <v>2347.71</v>
      </c>
      <c r="O55" s="4">
        <v>0.0</v>
      </c>
      <c r="P55" s="4">
        <v>0.0</v>
      </c>
      <c r="Q55" s="4">
        <v>0.0</v>
      </c>
      <c r="R55" s="4">
        <v>225.0</v>
      </c>
      <c r="S55" s="4">
        <v>0.0</v>
      </c>
      <c r="T55" s="4">
        <v>0.0</v>
      </c>
      <c r="U55" s="4">
        <v>0.0</v>
      </c>
      <c r="V55" s="4">
        <v>345.06</v>
      </c>
      <c r="W55" s="4">
        <v>0.0</v>
      </c>
      <c r="X55" s="4">
        <v>0.0</v>
      </c>
      <c r="Y55" s="4">
        <v>15222.16</v>
      </c>
      <c r="Z55" s="4">
        <v>216.49</v>
      </c>
      <c r="AA55" s="4">
        <v>87.69</v>
      </c>
      <c r="AB55" s="4">
        <v>87.69</v>
      </c>
      <c r="AC55" s="4">
        <v>7558.46</v>
      </c>
      <c r="AD55" s="4">
        <v>266.69</v>
      </c>
      <c r="AE55" s="4">
        <v>0.0</v>
      </c>
      <c r="AF55" s="4">
        <v>204.6</v>
      </c>
    </row>
    <row r="56">
      <c r="A56" s="3" t="s">
        <v>50</v>
      </c>
      <c r="B56" s="4">
        <v>6.0</v>
      </c>
      <c r="C56" s="4">
        <v>0.0</v>
      </c>
      <c r="D56" s="4">
        <v>861.77</v>
      </c>
      <c r="E56" s="4">
        <v>343.0</v>
      </c>
      <c r="F56" s="4">
        <v>350.0</v>
      </c>
      <c r="G56" s="4">
        <v>988.75</v>
      </c>
      <c r="H56" s="4">
        <v>648.12</v>
      </c>
      <c r="I56" s="4">
        <v>276.0</v>
      </c>
      <c r="J56" s="4">
        <v>250.0</v>
      </c>
      <c r="K56" s="4">
        <v>1326.54</v>
      </c>
      <c r="L56" s="4">
        <v>125.0</v>
      </c>
      <c r="M56" s="4">
        <v>275.0</v>
      </c>
      <c r="N56" s="4">
        <v>334.0</v>
      </c>
      <c r="O56" s="4">
        <v>180.0</v>
      </c>
      <c r="P56" s="4">
        <v>251.88</v>
      </c>
      <c r="Q56" s="4">
        <v>1484.55</v>
      </c>
      <c r="R56" s="4">
        <v>1230.0</v>
      </c>
      <c r="S56" s="4">
        <v>15.0</v>
      </c>
      <c r="T56" s="4">
        <v>15.0</v>
      </c>
      <c r="U56" s="4">
        <v>45.0</v>
      </c>
      <c r="V56" s="4">
        <v>503.44</v>
      </c>
      <c r="W56" s="4">
        <v>601.05</v>
      </c>
      <c r="X56" s="4">
        <v>1170.3</v>
      </c>
      <c r="Y56" s="4">
        <v>961.39</v>
      </c>
      <c r="Z56" s="4">
        <v>1159.21</v>
      </c>
      <c r="AA56" s="4">
        <v>1995.5</v>
      </c>
      <c r="AB56" s="4">
        <v>2279.27</v>
      </c>
      <c r="AC56" s="4">
        <v>2289.65</v>
      </c>
      <c r="AD56" s="4">
        <v>2389.76</v>
      </c>
      <c r="AE56" s="4">
        <v>2028.05</v>
      </c>
      <c r="AF56" s="4">
        <v>2330.44</v>
      </c>
    </row>
    <row r="57">
      <c r="A57" s="3" t="s">
        <v>51</v>
      </c>
      <c r="B57" s="4">
        <v>1347.5</v>
      </c>
      <c r="C57" s="4">
        <v>1715.0</v>
      </c>
      <c r="D57" s="4">
        <v>3858.75</v>
      </c>
      <c r="E57" s="4">
        <v>6338.2</v>
      </c>
      <c r="F57" s="4">
        <v>1866.95</v>
      </c>
      <c r="G57" s="4">
        <v>7296.43</v>
      </c>
      <c r="H57" s="4">
        <v>5082.04</v>
      </c>
      <c r="I57" s="4">
        <v>3207.64</v>
      </c>
      <c r="J57" s="4">
        <v>2143.75</v>
      </c>
      <c r="K57" s="4">
        <v>1960.0</v>
      </c>
      <c r="L57" s="4">
        <v>567.77</v>
      </c>
      <c r="M57" s="4">
        <v>258.85</v>
      </c>
      <c r="N57" s="4">
        <v>260.0</v>
      </c>
      <c r="O57" s="4">
        <v>1498.74</v>
      </c>
      <c r="P57" s="4">
        <v>170.0</v>
      </c>
      <c r="Q57" s="4">
        <v>598.03</v>
      </c>
      <c r="R57" s="4">
        <v>820.82</v>
      </c>
      <c r="S57" s="4">
        <v>23.46</v>
      </c>
      <c r="T57" s="4">
        <v>32.51</v>
      </c>
      <c r="U57" s="4">
        <v>24.51</v>
      </c>
      <c r="V57" s="4">
        <v>53.76</v>
      </c>
      <c r="W57" s="4">
        <v>39802.8</v>
      </c>
      <c r="X57" s="4">
        <v>27.72</v>
      </c>
      <c r="Y57" s="4">
        <v>30.39</v>
      </c>
      <c r="Z57" s="4">
        <v>1634.17</v>
      </c>
      <c r="AA57" s="4">
        <v>650.26</v>
      </c>
      <c r="AB57" s="4">
        <v>727.02</v>
      </c>
      <c r="AC57" s="4">
        <v>0.0</v>
      </c>
      <c r="AD57" s="4">
        <v>81.55</v>
      </c>
      <c r="AE57" s="4">
        <v>325.13</v>
      </c>
      <c r="AF57" s="4">
        <v>370.96</v>
      </c>
    </row>
    <row r="58">
      <c r="A58" s="3" t="s">
        <v>52</v>
      </c>
      <c r="B58" s="4">
        <v>80413.3</v>
      </c>
      <c r="C58" s="4">
        <v>73800.64</v>
      </c>
      <c r="D58" s="4">
        <v>65894.16</v>
      </c>
      <c r="E58" s="4">
        <v>61617.91</v>
      </c>
      <c r="F58" s="4">
        <v>58723.46</v>
      </c>
      <c r="G58" s="4">
        <v>9860.78</v>
      </c>
      <c r="H58" s="4">
        <v>10854.79</v>
      </c>
      <c r="I58" s="4">
        <v>7796.1</v>
      </c>
      <c r="J58" s="4">
        <v>29984.3</v>
      </c>
      <c r="K58" s="4">
        <v>52460.2</v>
      </c>
      <c r="L58" s="4">
        <v>73040.2</v>
      </c>
      <c r="M58" s="4">
        <v>12774.58</v>
      </c>
      <c r="N58" s="4">
        <v>76395.52</v>
      </c>
      <c r="O58" s="4">
        <v>53502.27</v>
      </c>
      <c r="P58" s="4">
        <v>62464.94</v>
      </c>
      <c r="Q58" s="4">
        <v>78037.94</v>
      </c>
      <c r="R58" s="4">
        <v>72175.2</v>
      </c>
      <c r="S58" s="4">
        <v>64972.4</v>
      </c>
      <c r="T58" s="4">
        <v>35815.4</v>
      </c>
      <c r="U58" s="4">
        <v>33673.5</v>
      </c>
      <c r="V58" s="4">
        <v>12534.5</v>
      </c>
      <c r="W58" s="4">
        <v>82567.6</v>
      </c>
      <c r="X58" s="4">
        <v>49164.6</v>
      </c>
      <c r="Y58" s="4">
        <v>40352.4</v>
      </c>
      <c r="Z58" s="4">
        <v>34759.98</v>
      </c>
      <c r="AA58" s="4">
        <v>46198.06</v>
      </c>
      <c r="AB58" s="4">
        <v>19349.5</v>
      </c>
      <c r="AC58" s="4">
        <v>2005.0</v>
      </c>
      <c r="AD58" s="4">
        <v>45895.0</v>
      </c>
      <c r="AE58" s="4">
        <v>41032.4</v>
      </c>
      <c r="AF58" s="4">
        <v>42054.9</v>
      </c>
    </row>
    <row r="59">
      <c r="A59" s="3" t="s">
        <v>53</v>
      </c>
      <c r="B59" s="4">
        <v>2693.57</v>
      </c>
      <c r="C59" s="4">
        <v>10834.59</v>
      </c>
      <c r="D59" s="4">
        <v>14510.07</v>
      </c>
      <c r="E59" s="4">
        <v>19872.71</v>
      </c>
      <c r="F59" s="4">
        <v>19155.98</v>
      </c>
      <c r="G59" s="4">
        <v>15751.06</v>
      </c>
      <c r="H59" s="4">
        <v>11882.91</v>
      </c>
      <c r="I59" s="4">
        <v>13896.66</v>
      </c>
      <c r="J59" s="4">
        <v>5694.73</v>
      </c>
      <c r="K59" s="4">
        <v>22722.45</v>
      </c>
      <c r="L59" s="4">
        <v>22055.35</v>
      </c>
      <c r="M59" s="4">
        <v>12137.28</v>
      </c>
      <c r="N59" s="4">
        <v>5749.82</v>
      </c>
      <c r="O59" s="4">
        <v>10991.28</v>
      </c>
      <c r="P59" s="4">
        <v>2988.46</v>
      </c>
      <c r="Q59" s="4">
        <v>6886.16</v>
      </c>
      <c r="R59" s="4">
        <v>10393.03</v>
      </c>
      <c r="S59" s="4">
        <v>28974.15</v>
      </c>
      <c r="T59" s="4">
        <v>17966.59</v>
      </c>
      <c r="U59" s="4">
        <v>9468.59</v>
      </c>
      <c r="V59" s="4">
        <v>5065.94</v>
      </c>
      <c r="W59" s="4">
        <v>5115.54</v>
      </c>
      <c r="X59" s="4">
        <v>9840.27</v>
      </c>
      <c r="Y59" s="4">
        <v>20603.8</v>
      </c>
      <c r="Z59" s="4">
        <v>15470.65</v>
      </c>
      <c r="AA59" s="4">
        <v>4533.92</v>
      </c>
      <c r="AB59" s="4">
        <v>7503.74</v>
      </c>
      <c r="AC59" s="4">
        <v>10623.11</v>
      </c>
      <c r="AD59" s="4">
        <v>7717.45</v>
      </c>
      <c r="AE59" s="4">
        <v>8933.09</v>
      </c>
      <c r="AF59" s="4">
        <v>18988.58</v>
      </c>
    </row>
    <row r="60">
      <c r="A60" s="3" t="s">
        <v>54</v>
      </c>
      <c r="B60" s="4">
        <v>8519.69</v>
      </c>
      <c r="C60" s="4">
        <v>1938.85</v>
      </c>
      <c r="D60" s="4">
        <v>2194.8</v>
      </c>
      <c r="E60" s="4">
        <v>15668.0</v>
      </c>
      <c r="F60" s="4">
        <v>1977.8</v>
      </c>
      <c r="G60" s="4">
        <v>5639.39</v>
      </c>
      <c r="H60" s="4">
        <v>1978.98</v>
      </c>
      <c r="I60" s="4">
        <v>996.19</v>
      </c>
      <c r="J60" s="4">
        <v>1181.18</v>
      </c>
      <c r="K60" s="4">
        <v>100906.55</v>
      </c>
      <c r="L60" s="4">
        <v>36692.15</v>
      </c>
      <c r="M60" s="4">
        <v>46775.91</v>
      </c>
      <c r="N60" s="4">
        <v>0.0</v>
      </c>
      <c r="O60" s="4">
        <v>13971.0</v>
      </c>
      <c r="P60" s="4">
        <v>12045.0</v>
      </c>
      <c r="Q60" s="4">
        <v>3798.0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/>
      <c r="AA60" s="4"/>
      <c r="AB60" s="4"/>
      <c r="AC60" s="4"/>
      <c r="AD60" s="4"/>
      <c r="AE60" s="4"/>
      <c r="AF60" s="4"/>
    </row>
    <row r="61">
      <c r="A61" s="3" t="s">
        <v>55</v>
      </c>
      <c r="B61" s="4">
        <v>4766.62</v>
      </c>
      <c r="C61" s="4">
        <v>7277.83</v>
      </c>
      <c r="D61" s="4">
        <v>13823.35</v>
      </c>
      <c r="E61" s="4">
        <v>7688.71</v>
      </c>
      <c r="F61" s="4">
        <v>17819.41</v>
      </c>
      <c r="G61" s="4">
        <v>9317.68</v>
      </c>
      <c r="H61" s="4">
        <v>8068.33</v>
      </c>
      <c r="I61" s="4">
        <v>9298.58</v>
      </c>
      <c r="J61" s="4">
        <v>6421.95</v>
      </c>
      <c r="K61" s="4">
        <v>11257.08</v>
      </c>
      <c r="L61" s="4">
        <v>7832.45</v>
      </c>
      <c r="M61" s="4">
        <v>17004.53</v>
      </c>
      <c r="N61" s="4">
        <v>2824.03</v>
      </c>
      <c r="O61" s="4">
        <v>6688.95</v>
      </c>
      <c r="P61" s="4">
        <v>4343.92</v>
      </c>
      <c r="Q61" s="4">
        <v>5138.02</v>
      </c>
      <c r="R61" s="4">
        <v>5911.25</v>
      </c>
      <c r="S61" s="4">
        <v>5312.09</v>
      </c>
      <c r="T61" s="4">
        <v>3649.24</v>
      </c>
      <c r="U61" s="4">
        <v>1540.23</v>
      </c>
      <c r="V61" s="4">
        <v>1384.26</v>
      </c>
      <c r="W61" s="4">
        <v>1565.29</v>
      </c>
      <c r="X61" s="4">
        <v>1204.46</v>
      </c>
      <c r="Y61" s="4">
        <v>2103.85</v>
      </c>
      <c r="Z61" s="4">
        <v>4889.37</v>
      </c>
      <c r="AA61" s="4">
        <v>975.23</v>
      </c>
      <c r="AB61" s="4">
        <v>1458.8</v>
      </c>
      <c r="AC61" s="4">
        <v>763.3</v>
      </c>
      <c r="AD61" s="4">
        <v>3629.47</v>
      </c>
      <c r="AE61" s="4">
        <v>9859.05</v>
      </c>
      <c r="AF61" s="4">
        <v>1177.2</v>
      </c>
    </row>
    <row r="62">
      <c r="A62" s="3" t="s">
        <v>56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>
        <v>858.0</v>
      </c>
      <c r="AA62" s="4">
        <v>0.0</v>
      </c>
      <c r="AB62" s="4">
        <v>0.0</v>
      </c>
      <c r="AC62" s="4">
        <v>0.0</v>
      </c>
      <c r="AD62" s="4">
        <v>1120.72</v>
      </c>
      <c r="AE62" s="4">
        <v>1069.0</v>
      </c>
      <c r="AF62" s="4">
        <v>0.0</v>
      </c>
    </row>
    <row r="63">
      <c r="A63" s="3" t="s">
        <v>57</v>
      </c>
      <c r="B63" s="4">
        <v>991.66</v>
      </c>
      <c r="C63" s="4">
        <v>908.73</v>
      </c>
      <c r="D63" s="4">
        <v>1862.1</v>
      </c>
      <c r="E63" s="4">
        <v>4359.71</v>
      </c>
      <c r="F63" s="4">
        <v>2499.78</v>
      </c>
      <c r="G63" s="4">
        <v>2700.56</v>
      </c>
      <c r="H63" s="4">
        <v>2126.15</v>
      </c>
      <c r="I63" s="4">
        <v>5326.15</v>
      </c>
      <c r="J63" s="4">
        <v>1555.82</v>
      </c>
      <c r="K63" s="4">
        <v>2090.19</v>
      </c>
      <c r="L63" s="4">
        <v>3956.51</v>
      </c>
      <c r="M63" s="4">
        <v>4588.6</v>
      </c>
      <c r="N63" s="4">
        <v>1489.55</v>
      </c>
      <c r="O63" s="4">
        <v>2939.15</v>
      </c>
      <c r="P63" s="4">
        <v>1347.7</v>
      </c>
      <c r="Q63" s="4">
        <v>1258.89</v>
      </c>
      <c r="R63" s="4">
        <v>2949.41</v>
      </c>
      <c r="S63" s="4">
        <v>1279.48</v>
      </c>
      <c r="T63" s="4">
        <v>1876.53</v>
      </c>
      <c r="U63" s="4">
        <v>-940.47</v>
      </c>
      <c r="V63" s="4">
        <v>1280.22</v>
      </c>
      <c r="W63" s="4">
        <v>3314.2</v>
      </c>
      <c r="X63" s="4">
        <v>1532.36</v>
      </c>
      <c r="Y63" s="4">
        <v>6150.37</v>
      </c>
      <c r="Z63" s="4">
        <v>615.31</v>
      </c>
      <c r="AA63" s="4">
        <v>9264.74</v>
      </c>
      <c r="AB63" s="4">
        <v>16635.83</v>
      </c>
      <c r="AC63" s="4">
        <v>2501.2</v>
      </c>
      <c r="AD63" s="4">
        <v>6803.95</v>
      </c>
      <c r="AE63" s="4">
        <v>15919.04</v>
      </c>
      <c r="AF63" s="4">
        <v>16186.45</v>
      </c>
    </row>
    <row r="64">
      <c r="A64" s="3" t="s">
        <v>58</v>
      </c>
      <c r="B64" s="4">
        <v>203.58</v>
      </c>
      <c r="C64" s="4">
        <v>57.62</v>
      </c>
      <c r="D64" s="4">
        <v>71.21</v>
      </c>
      <c r="E64" s="4">
        <v>0.0</v>
      </c>
      <c r="F64" s="4">
        <v>39.35</v>
      </c>
      <c r="G64" s="4">
        <v>198.36</v>
      </c>
      <c r="H64" s="4">
        <v>32.16</v>
      </c>
      <c r="I64" s="4">
        <v>787.11</v>
      </c>
      <c r="J64" s="4">
        <v>1165.9</v>
      </c>
      <c r="K64" s="4">
        <v>756.3</v>
      </c>
      <c r="L64" s="4">
        <v>464.44</v>
      </c>
      <c r="M64" s="4">
        <v>270.0</v>
      </c>
      <c r="N64" s="4">
        <v>21307.75</v>
      </c>
      <c r="O64" s="4">
        <v>633.39</v>
      </c>
      <c r="P64" s="4">
        <v>1770.37</v>
      </c>
      <c r="Q64" s="4">
        <v>246.98</v>
      </c>
      <c r="R64" s="4">
        <v>3627.83</v>
      </c>
      <c r="S64" s="4">
        <v>11393.23</v>
      </c>
      <c r="T64" s="4">
        <v>21981.57</v>
      </c>
      <c r="U64" s="4">
        <v>1027.1</v>
      </c>
      <c r="V64" s="4">
        <v>5461.73</v>
      </c>
      <c r="W64" s="4">
        <v>2803.3</v>
      </c>
      <c r="X64" s="4">
        <v>5235.3</v>
      </c>
      <c r="Y64" s="4">
        <v>5204.71</v>
      </c>
      <c r="Z64" s="4">
        <v>2187.87</v>
      </c>
      <c r="AA64" s="4">
        <v>6818.01</v>
      </c>
      <c r="AB64" s="4">
        <v>2765.18</v>
      </c>
      <c r="AC64" s="4">
        <v>1544.45</v>
      </c>
      <c r="AD64" s="4">
        <v>1814.29</v>
      </c>
      <c r="AE64" s="4">
        <v>810.71</v>
      </c>
      <c r="AF64" s="4">
        <v>2425.03</v>
      </c>
    </row>
    <row r="65">
      <c r="A65" s="3" t="s">
        <v>59</v>
      </c>
      <c r="B65" s="4">
        <v>110.48</v>
      </c>
      <c r="C65" s="4">
        <v>110.32</v>
      </c>
      <c r="D65" s="4">
        <v>116.41</v>
      </c>
      <c r="E65" s="4">
        <v>116.41</v>
      </c>
      <c r="F65" s="4">
        <v>172.04</v>
      </c>
      <c r="G65" s="4">
        <v>857.74</v>
      </c>
      <c r="H65" s="4">
        <v>866.54</v>
      </c>
      <c r="I65" s="4">
        <v>258.25</v>
      </c>
      <c r="J65" s="4">
        <v>446.26</v>
      </c>
      <c r="K65" s="4">
        <v>453.01</v>
      </c>
      <c r="L65" s="4">
        <v>506.77</v>
      </c>
      <c r="M65" s="4">
        <v>453.15</v>
      </c>
      <c r="N65" s="4">
        <v>453.49</v>
      </c>
      <c r="O65" s="4">
        <v>453.49</v>
      </c>
      <c r="P65" s="4">
        <v>774.96</v>
      </c>
      <c r="Q65" s="4">
        <v>453.21</v>
      </c>
      <c r="R65" s="4">
        <v>458.23</v>
      </c>
      <c r="S65" s="4">
        <v>458.23</v>
      </c>
      <c r="T65" s="4">
        <v>463.26</v>
      </c>
      <c r="U65" s="4">
        <v>733.93</v>
      </c>
      <c r="V65" s="4">
        <v>469.04</v>
      </c>
      <c r="W65" s="4">
        <v>200.02</v>
      </c>
      <c r="X65" s="4">
        <v>642.75</v>
      </c>
      <c r="Y65" s="4">
        <v>172.04</v>
      </c>
      <c r="Z65" s="4">
        <v>319.35</v>
      </c>
      <c r="AA65" s="4">
        <v>342.28</v>
      </c>
      <c r="AB65" s="4">
        <v>236.71</v>
      </c>
      <c r="AC65" s="4">
        <v>236.71</v>
      </c>
      <c r="AD65" s="4">
        <v>236.71</v>
      </c>
      <c r="AE65" s="4">
        <v>236.71</v>
      </c>
      <c r="AF65" s="4">
        <v>337.28</v>
      </c>
    </row>
    <row r="66">
      <c r="A66" s="3" t="s">
        <v>60</v>
      </c>
      <c r="B66" s="4">
        <v>1891.82</v>
      </c>
      <c r="C66" s="4">
        <v>3435.18</v>
      </c>
      <c r="D66" s="4">
        <v>3608.61</v>
      </c>
      <c r="E66" s="4">
        <v>3798.97</v>
      </c>
      <c r="F66" s="4">
        <v>4185.99</v>
      </c>
      <c r="G66" s="4">
        <v>4358.77</v>
      </c>
      <c r="H66" s="4">
        <v>4955.56</v>
      </c>
      <c r="I66" s="4">
        <v>5332.23</v>
      </c>
      <c r="J66" s="4">
        <v>5635.68</v>
      </c>
      <c r="K66" s="4">
        <v>5733.41</v>
      </c>
      <c r="L66" s="4">
        <v>5733.41</v>
      </c>
      <c r="M66" s="4">
        <v>5733.41</v>
      </c>
      <c r="N66" s="4">
        <v>5733.29</v>
      </c>
      <c r="O66" s="4">
        <v>5695.84</v>
      </c>
      <c r="P66" s="4">
        <v>5656.02</v>
      </c>
      <c r="Q66" s="4">
        <v>5591.57</v>
      </c>
      <c r="R66" s="4">
        <v>5714.66</v>
      </c>
      <c r="S66" s="4">
        <v>5659.59</v>
      </c>
      <c r="T66" s="4">
        <v>5734.57</v>
      </c>
      <c r="U66" s="4">
        <v>5734.57</v>
      </c>
      <c r="V66" s="4">
        <v>5734.57</v>
      </c>
      <c r="W66" s="4">
        <v>5789.27</v>
      </c>
      <c r="X66" s="4">
        <v>6378.4</v>
      </c>
      <c r="Y66" s="4">
        <v>20756.47</v>
      </c>
      <c r="Z66" s="4">
        <v>7211.63</v>
      </c>
      <c r="AA66" s="4">
        <v>7127.65</v>
      </c>
      <c r="AB66" s="4">
        <v>7127.65</v>
      </c>
      <c r="AC66" s="4">
        <v>7127.83</v>
      </c>
      <c r="AD66" s="4">
        <v>7022.17</v>
      </c>
      <c r="AE66" s="4">
        <v>7013.52</v>
      </c>
      <c r="AF66" s="4">
        <v>7204.22</v>
      </c>
    </row>
    <row r="67">
      <c r="A67" s="3" t="s">
        <v>61</v>
      </c>
      <c r="B67" s="4">
        <v>5026.77</v>
      </c>
      <c r="C67" s="4">
        <v>5687.8</v>
      </c>
      <c r="D67" s="4">
        <v>6583.22</v>
      </c>
      <c r="E67" s="4">
        <v>8085.08</v>
      </c>
      <c r="F67" s="4">
        <v>9128.59</v>
      </c>
      <c r="G67" s="4">
        <v>10622.65</v>
      </c>
      <c r="H67" s="4">
        <v>14375.23</v>
      </c>
      <c r="I67" s="4">
        <v>18001.33</v>
      </c>
      <c r="J67" s="4">
        <v>23221.44</v>
      </c>
      <c r="K67" s="4">
        <v>27852.19</v>
      </c>
      <c r="L67" s="4">
        <v>30897.91</v>
      </c>
      <c r="M67" s="4">
        <v>34204.05</v>
      </c>
      <c r="N67" s="4">
        <v>36785.26</v>
      </c>
      <c r="O67" s="4">
        <v>39774.43</v>
      </c>
      <c r="P67" s="4">
        <v>43566.25</v>
      </c>
      <c r="Q67" s="4">
        <v>46324.1</v>
      </c>
      <c r="R67" s="4">
        <v>49719.89</v>
      </c>
      <c r="S67" s="4">
        <v>52916.18</v>
      </c>
      <c r="T67" s="4">
        <v>54197.42</v>
      </c>
      <c r="U67" s="4">
        <v>54135.53</v>
      </c>
      <c r="V67" s="4">
        <v>54050.38</v>
      </c>
      <c r="W67" s="4">
        <v>53922.99</v>
      </c>
      <c r="X67" s="4">
        <v>53759.67</v>
      </c>
      <c r="Y67" s="4">
        <v>97546.46</v>
      </c>
      <c r="Z67" s="4">
        <v>56109.43</v>
      </c>
      <c r="AA67" s="4">
        <v>55999.37</v>
      </c>
      <c r="AB67" s="4">
        <v>55945.09</v>
      </c>
      <c r="AC67" s="4">
        <v>55911.74</v>
      </c>
      <c r="AD67" s="4">
        <v>55843.2</v>
      </c>
      <c r="AE67" s="4">
        <v>55704.11</v>
      </c>
      <c r="AF67" s="4">
        <v>55468.2</v>
      </c>
    </row>
    <row r="68">
      <c r="A68" s="3" t="s">
        <v>62</v>
      </c>
      <c r="B68" s="4">
        <v>7409.57</v>
      </c>
      <c r="C68" s="4">
        <v>7601.16</v>
      </c>
      <c r="D68" s="4">
        <v>10328.88</v>
      </c>
      <c r="E68" s="4">
        <v>8745.1</v>
      </c>
      <c r="F68" s="4">
        <v>18335.85</v>
      </c>
      <c r="G68" s="4">
        <v>16472.69</v>
      </c>
      <c r="H68" s="4">
        <v>30867.08</v>
      </c>
      <c r="I68" s="4">
        <v>16621.71</v>
      </c>
      <c r="J68" s="4">
        <v>18656.59</v>
      </c>
      <c r="K68" s="4">
        <v>21763.9</v>
      </c>
      <c r="L68" s="4">
        <v>14990.82</v>
      </c>
      <c r="M68" s="4">
        <v>14538.5</v>
      </c>
      <c r="N68" s="4">
        <v>15845.18</v>
      </c>
      <c r="O68" s="4">
        <v>11942.56</v>
      </c>
      <c r="P68" s="4">
        <v>13265.67</v>
      </c>
      <c r="Q68" s="4">
        <v>14303.12</v>
      </c>
      <c r="R68" s="4">
        <v>17954.77</v>
      </c>
      <c r="S68" s="4">
        <v>17717.7</v>
      </c>
      <c r="T68" s="4">
        <v>18257.6</v>
      </c>
      <c r="U68" s="4">
        <v>-8555.49</v>
      </c>
      <c r="V68" s="4">
        <v>13488.23</v>
      </c>
      <c r="W68" s="4">
        <v>13050.71</v>
      </c>
      <c r="X68" s="4">
        <v>12532.66</v>
      </c>
      <c r="Y68" s="4">
        <v>13921.81</v>
      </c>
      <c r="Z68" s="4">
        <v>12945.01</v>
      </c>
      <c r="AA68" s="4">
        <v>2300.23</v>
      </c>
      <c r="AB68" s="4">
        <v>13601.77</v>
      </c>
      <c r="AC68" s="4">
        <v>18927.31</v>
      </c>
      <c r="AD68" s="4">
        <v>19375.41</v>
      </c>
      <c r="AE68" s="4">
        <v>15540.08</v>
      </c>
      <c r="AF68" s="4">
        <v>16558.34</v>
      </c>
    </row>
    <row r="69">
      <c r="A69" s="3" t="s">
        <v>63</v>
      </c>
      <c r="B69" s="4">
        <v>14393.01</v>
      </c>
      <c r="C69" s="4">
        <v>2839.13</v>
      </c>
      <c r="D69" s="4">
        <v>621.0</v>
      </c>
      <c r="E69" s="4">
        <v>1735.33</v>
      </c>
      <c r="F69" s="4">
        <v>88.18</v>
      </c>
      <c r="G69" s="4">
        <v>0.0</v>
      </c>
      <c r="H69" s="4">
        <v>1309.78</v>
      </c>
      <c r="I69" s="4">
        <v>750.0</v>
      </c>
      <c r="J69" s="4">
        <v>731.34</v>
      </c>
      <c r="K69" s="4">
        <v>3994.92</v>
      </c>
      <c r="L69" s="4">
        <v>1282.15</v>
      </c>
      <c r="M69" s="4">
        <v>2115.72</v>
      </c>
      <c r="N69" s="4">
        <v>1316.22</v>
      </c>
      <c r="O69" s="4">
        <v>864.38</v>
      </c>
      <c r="P69" s="4">
        <v>2659.63</v>
      </c>
      <c r="Q69" s="4">
        <v>1004.96</v>
      </c>
      <c r="R69" s="4">
        <v>428.51</v>
      </c>
      <c r="S69" s="4">
        <v>348.86</v>
      </c>
      <c r="T69" s="4">
        <v>16522.44</v>
      </c>
      <c r="U69" s="4">
        <v>2543.13</v>
      </c>
      <c r="V69" s="4">
        <v>0.0</v>
      </c>
      <c r="W69" s="4">
        <v>0.0</v>
      </c>
      <c r="X69" s="4">
        <v>0.0</v>
      </c>
      <c r="Y69" s="4">
        <v>-10.68</v>
      </c>
      <c r="Z69" s="4">
        <v>406.57</v>
      </c>
      <c r="AA69" s="4">
        <v>0.0</v>
      </c>
      <c r="AB69" s="4">
        <v>30.0</v>
      </c>
      <c r="AC69" s="4">
        <v>60.57</v>
      </c>
      <c r="AD69" s="4">
        <v>2455.64</v>
      </c>
      <c r="AE69" s="4">
        <v>206.81</v>
      </c>
      <c r="AF69" s="4">
        <v>335.08</v>
      </c>
    </row>
    <row r="70">
      <c r="A70" s="3" t="s">
        <v>64</v>
      </c>
      <c r="B70" s="4">
        <v>0.0</v>
      </c>
      <c r="C70" s="4">
        <v>0.0</v>
      </c>
      <c r="D70" s="4">
        <v>0.0</v>
      </c>
      <c r="E70" s="4">
        <v>2500.0</v>
      </c>
      <c r="F70" s="4">
        <v>0.0</v>
      </c>
      <c r="G70" s="4">
        <v>15827.0</v>
      </c>
      <c r="H70" s="4">
        <v>45176.69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9315.29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/>
      <c r="AA70" s="4"/>
      <c r="AB70" s="4"/>
      <c r="AC70" s="4"/>
      <c r="AD70" s="4"/>
      <c r="AE70" s="4"/>
      <c r="AF70" s="4"/>
    </row>
    <row r="71">
      <c r="A71" s="3" t="s">
        <v>65</v>
      </c>
      <c r="B71" s="4">
        <v>47743.5</v>
      </c>
      <c r="C71" s="4">
        <v>35943.0</v>
      </c>
      <c r="D71" s="4">
        <v>83097.37</v>
      </c>
      <c r="E71" s="4">
        <v>86558.66</v>
      </c>
      <c r="F71" s="4">
        <v>51604.01</v>
      </c>
      <c r="G71" s="4">
        <v>26800.0</v>
      </c>
      <c r="H71" s="4">
        <v>18640.0</v>
      </c>
      <c r="I71" s="4">
        <v>52972.0</v>
      </c>
      <c r="J71" s="4">
        <v>33999.0</v>
      </c>
      <c r="K71" s="4">
        <v>5000.0</v>
      </c>
      <c r="L71" s="4">
        <v>5000.0</v>
      </c>
      <c r="M71" s="4">
        <v>5000.0</v>
      </c>
      <c r="N71" s="4">
        <v>10000.0</v>
      </c>
      <c r="O71" s="4">
        <v>5000.0</v>
      </c>
      <c r="P71" s="4">
        <v>5000.0</v>
      </c>
      <c r="Q71" s="4">
        <v>5000.0</v>
      </c>
      <c r="R71" s="4">
        <v>5000.0</v>
      </c>
      <c r="S71" s="4">
        <v>5000.0</v>
      </c>
      <c r="T71" s="4">
        <v>0.0</v>
      </c>
      <c r="U71" s="4">
        <v>4000.0</v>
      </c>
      <c r="V71" s="4">
        <v>42157.15</v>
      </c>
      <c r="W71" s="4">
        <v>44074.17</v>
      </c>
      <c r="X71" s="4">
        <v>51011.11</v>
      </c>
      <c r="Y71" s="4">
        <v>69463.6</v>
      </c>
      <c r="Z71" s="4">
        <v>86158.49</v>
      </c>
      <c r="AA71" s="4">
        <v>75433.34</v>
      </c>
      <c r="AB71" s="4">
        <v>116055.95</v>
      </c>
      <c r="AC71" s="4">
        <v>187481.72</v>
      </c>
      <c r="AD71" s="4">
        <v>173420.89</v>
      </c>
      <c r="AE71" s="4">
        <v>159128.05</v>
      </c>
      <c r="AF71" s="4">
        <v>129432.51</v>
      </c>
    </row>
    <row r="72">
      <c r="A72" s="3" t="s">
        <v>66</v>
      </c>
      <c r="B72" s="4">
        <v>0.0</v>
      </c>
      <c r="C72" s="4">
        <v>511.99</v>
      </c>
      <c r="D72" s="4">
        <v>0.0</v>
      </c>
      <c r="E72" s="4">
        <v>5212.0</v>
      </c>
      <c r="F72" s="4">
        <v>2162.0</v>
      </c>
      <c r="G72" s="4">
        <v>0.0</v>
      </c>
      <c r="H72" s="4">
        <v>67.5</v>
      </c>
      <c r="I72" s="4">
        <v>286.0</v>
      </c>
      <c r="J72" s="4">
        <v>1669.12</v>
      </c>
      <c r="K72" s="4">
        <v>48.0</v>
      </c>
      <c r="L72" s="4">
        <v>600.0</v>
      </c>
      <c r="M72" s="4">
        <v>282.5</v>
      </c>
      <c r="N72" s="4">
        <v>953.2</v>
      </c>
      <c r="O72" s="4">
        <v>134.99</v>
      </c>
      <c r="P72" s="4">
        <v>806.75</v>
      </c>
      <c r="Q72" s="4">
        <v>645.0</v>
      </c>
      <c r="R72" s="4">
        <v>716.73</v>
      </c>
      <c r="S72" s="4">
        <v>869.2</v>
      </c>
      <c r="T72" s="4">
        <v>11578.11</v>
      </c>
      <c r="U72" s="4">
        <v>-59.0</v>
      </c>
      <c r="V72" s="4">
        <v>242.2</v>
      </c>
      <c r="W72" s="4">
        <v>2757.37</v>
      </c>
      <c r="X72" s="4">
        <v>1219.56</v>
      </c>
      <c r="Y72" s="4">
        <v>852.33</v>
      </c>
      <c r="Z72" s="4">
        <v>1447.59</v>
      </c>
      <c r="AA72" s="4">
        <v>4000.01</v>
      </c>
      <c r="AB72" s="4">
        <v>8240.0</v>
      </c>
      <c r="AC72" s="4">
        <v>5963.09</v>
      </c>
      <c r="AD72" s="4">
        <v>14834.29</v>
      </c>
      <c r="AE72" s="4">
        <v>118.47</v>
      </c>
      <c r="AF72" s="4">
        <v>1196.42</v>
      </c>
    </row>
    <row r="73">
      <c r="A73" s="3" t="s">
        <v>67</v>
      </c>
      <c r="B73" s="4">
        <v>21.0</v>
      </c>
      <c r="C73" s="4">
        <v>1379.25</v>
      </c>
      <c r="D73" s="4">
        <v>1795.82</v>
      </c>
      <c r="E73" s="4">
        <v>2793.16</v>
      </c>
      <c r="F73" s="4">
        <v>2345.28</v>
      </c>
      <c r="G73" s="4">
        <v>2527.08</v>
      </c>
      <c r="H73" s="4">
        <v>0.0</v>
      </c>
      <c r="I73" s="4">
        <v>3733.37</v>
      </c>
      <c r="J73" s="4">
        <v>3249.0</v>
      </c>
      <c r="K73" s="4">
        <v>0.0</v>
      </c>
      <c r="L73" s="4">
        <v>0.0</v>
      </c>
      <c r="M73" s="4">
        <v>392.94</v>
      </c>
      <c r="N73" s="4">
        <v>426.6</v>
      </c>
      <c r="O73" s="4">
        <v>987.94</v>
      </c>
      <c r="P73" s="4">
        <v>891.3</v>
      </c>
      <c r="Q73" s="4">
        <v>4714.74</v>
      </c>
      <c r="R73" s="4">
        <v>1228.81</v>
      </c>
      <c r="S73" s="4">
        <v>2438.93</v>
      </c>
      <c r="T73" s="4">
        <v>2303.1</v>
      </c>
      <c r="U73" s="4">
        <v>1175.51</v>
      </c>
      <c r="V73" s="4">
        <v>1175.51</v>
      </c>
      <c r="W73" s="4">
        <v>1275.51</v>
      </c>
      <c r="X73" s="4">
        <v>1175.24</v>
      </c>
      <c r="Y73" s="4">
        <v>1282.11</v>
      </c>
      <c r="Z73" s="4">
        <v>1346.5</v>
      </c>
      <c r="AA73" s="4">
        <v>1421.42</v>
      </c>
      <c r="AB73" s="4">
        <v>3247.05</v>
      </c>
      <c r="AC73" s="4">
        <v>1867.04</v>
      </c>
      <c r="AD73" s="4">
        <v>2816.39</v>
      </c>
      <c r="AE73" s="4">
        <v>1415.1</v>
      </c>
      <c r="AF73" s="4">
        <v>1214.48</v>
      </c>
    </row>
    <row r="74">
      <c r="A74" s="3" t="s">
        <v>68</v>
      </c>
      <c r="B74" s="4">
        <v>16872.0</v>
      </c>
      <c r="C74" s="4">
        <v>18958.41</v>
      </c>
      <c r="D74" s="4">
        <v>23115.47</v>
      </c>
      <c r="E74" s="4">
        <v>24526.46</v>
      </c>
      <c r="F74" s="4">
        <v>23449.77</v>
      </c>
      <c r="G74" s="4">
        <v>28795.07</v>
      </c>
      <c r="H74" s="4">
        <v>27471.27</v>
      </c>
      <c r="I74" s="4">
        <v>25395.17</v>
      </c>
      <c r="J74" s="4">
        <v>27757.52</v>
      </c>
      <c r="K74" s="4">
        <v>37238.57</v>
      </c>
      <c r="L74" s="4">
        <v>21400.51</v>
      </c>
      <c r="M74" s="4">
        <v>21853.47</v>
      </c>
      <c r="N74" s="4">
        <v>28638.55</v>
      </c>
      <c r="O74" s="4">
        <v>20305.68</v>
      </c>
      <c r="P74" s="4">
        <v>24714.55</v>
      </c>
      <c r="Q74" s="4">
        <v>23281.89</v>
      </c>
      <c r="R74" s="4">
        <v>23397.28</v>
      </c>
      <c r="S74" s="4">
        <v>30019.62</v>
      </c>
      <c r="T74" s="4">
        <v>24737.23</v>
      </c>
      <c r="U74" s="4">
        <v>22296.38</v>
      </c>
      <c r="V74" s="4">
        <v>22053.2</v>
      </c>
      <c r="W74" s="4">
        <v>23740.09</v>
      </c>
      <c r="X74" s="4">
        <v>24815.73</v>
      </c>
      <c r="Y74" s="4">
        <v>28689.17</v>
      </c>
      <c r="Z74" s="4">
        <v>33720.99</v>
      </c>
      <c r="AA74" s="4">
        <v>35612.26</v>
      </c>
      <c r="AB74" s="4">
        <v>32238.39</v>
      </c>
      <c r="AC74" s="4">
        <v>34327.28</v>
      </c>
      <c r="AD74" s="4">
        <v>27809.68</v>
      </c>
      <c r="AE74" s="4">
        <v>30077.8</v>
      </c>
      <c r="AF74" s="4">
        <v>35198.95</v>
      </c>
    </row>
    <row r="75">
      <c r="A75" s="3" t="s">
        <v>69</v>
      </c>
      <c r="B75" s="4">
        <v>4895.31</v>
      </c>
      <c r="C75" s="4">
        <v>2907.5</v>
      </c>
      <c r="D75" s="4">
        <v>3700.67</v>
      </c>
      <c r="E75" s="4">
        <v>1263.91</v>
      </c>
      <c r="F75" s="4">
        <v>894.11</v>
      </c>
      <c r="G75" s="4">
        <v>696.34</v>
      </c>
      <c r="H75" s="4">
        <v>515.92</v>
      </c>
      <c r="I75" s="4">
        <v>1184.63</v>
      </c>
      <c r="J75" s="4">
        <v>1582.44</v>
      </c>
      <c r="K75" s="4">
        <v>1405.0</v>
      </c>
      <c r="L75" s="4">
        <v>623.46</v>
      </c>
      <c r="M75" s="4">
        <v>475.94</v>
      </c>
      <c r="N75" s="4">
        <v>7993.01</v>
      </c>
      <c r="O75" s="4">
        <v>1408.81</v>
      </c>
      <c r="P75" s="4">
        <v>1014.06</v>
      </c>
      <c r="Q75" s="4">
        <v>535.29</v>
      </c>
      <c r="R75" s="4">
        <v>517.91</v>
      </c>
      <c r="S75" s="4">
        <v>556.44</v>
      </c>
      <c r="T75" s="4">
        <v>11.78</v>
      </c>
      <c r="U75" s="4">
        <v>113.46</v>
      </c>
      <c r="V75" s="4">
        <v>107.99</v>
      </c>
      <c r="W75" s="4">
        <v>723.23</v>
      </c>
      <c r="X75" s="4">
        <v>227.79</v>
      </c>
      <c r="Y75" s="4">
        <v>480.4</v>
      </c>
      <c r="Z75" s="4">
        <v>5126.07</v>
      </c>
      <c r="AA75" s="4">
        <v>1311.69</v>
      </c>
      <c r="AB75" s="4">
        <v>637.47</v>
      </c>
      <c r="AC75" s="4">
        <v>594.63</v>
      </c>
      <c r="AD75" s="4">
        <v>22.61</v>
      </c>
      <c r="AE75" s="4">
        <v>634.58</v>
      </c>
      <c r="AF75" s="4">
        <v>269.17</v>
      </c>
    </row>
    <row r="76">
      <c r="A76" s="3" t="s">
        <v>70</v>
      </c>
      <c r="B76" s="4">
        <v>244.04</v>
      </c>
      <c r="C76" s="4">
        <v>195.46</v>
      </c>
      <c r="D76" s="4">
        <v>41.85</v>
      </c>
      <c r="E76" s="4">
        <v>53.12</v>
      </c>
      <c r="F76" s="4">
        <v>30.4</v>
      </c>
      <c r="G76" s="4">
        <v>25.08</v>
      </c>
      <c r="H76" s="4">
        <v>25.15</v>
      </c>
      <c r="I76" s="4">
        <v>7.72</v>
      </c>
      <c r="J76" s="4">
        <v>7.63</v>
      </c>
      <c r="K76" s="4">
        <v>28.22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376.93</v>
      </c>
      <c r="S76" s="4">
        <v>0.0</v>
      </c>
      <c r="T76" s="4">
        <v>0.0</v>
      </c>
      <c r="U76" s="4">
        <v>0.0</v>
      </c>
      <c r="V76" s="4">
        <v>0.0</v>
      </c>
      <c r="W76" s="4">
        <v>81.52</v>
      </c>
      <c r="X76" s="4">
        <v>0.0</v>
      </c>
      <c r="Y76" s="4">
        <v>0.0</v>
      </c>
      <c r="Z76" s="4">
        <v>523.96</v>
      </c>
      <c r="AA76" s="4">
        <v>0.0</v>
      </c>
      <c r="AB76" s="4">
        <v>267.57</v>
      </c>
      <c r="AC76" s="4">
        <v>-14.56</v>
      </c>
      <c r="AD76" s="4">
        <v>-29.12</v>
      </c>
      <c r="AE76" s="4">
        <v>-60.4</v>
      </c>
      <c r="AF76" s="4">
        <v>-120.63</v>
      </c>
    </row>
    <row r="77">
      <c r="A77" s="3" t="s">
        <v>71</v>
      </c>
      <c r="B77" s="4">
        <v>164915.03</v>
      </c>
      <c r="C77" s="4">
        <v>181727.48</v>
      </c>
      <c r="D77" s="4">
        <v>224514.77</v>
      </c>
      <c r="E77" s="4">
        <v>239883.23</v>
      </c>
      <c r="F77" s="4">
        <v>231898.16</v>
      </c>
      <c r="G77" s="4">
        <v>244952.09</v>
      </c>
      <c r="H77" s="4">
        <v>242188.22</v>
      </c>
      <c r="I77" s="4">
        <v>220205.41</v>
      </c>
      <c r="J77" s="4">
        <v>226400.14</v>
      </c>
      <c r="K77" s="4">
        <v>362716.55</v>
      </c>
      <c r="L77" s="4">
        <v>200665.52</v>
      </c>
      <c r="M77" s="4">
        <v>218312.94</v>
      </c>
      <c r="N77" s="4">
        <v>202924.92</v>
      </c>
      <c r="O77" s="4">
        <v>226807.03</v>
      </c>
      <c r="P77" s="4">
        <v>279568.28</v>
      </c>
      <c r="Q77" s="4">
        <v>228934.68</v>
      </c>
      <c r="R77" s="4">
        <v>254338.21</v>
      </c>
      <c r="S77" s="4">
        <v>366782.3</v>
      </c>
      <c r="T77" s="4">
        <v>289863.94</v>
      </c>
      <c r="U77" s="4">
        <v>266448.28</v>
      </c>
      <c r="V77" s="4">
        <v>268227.81</v>
      </c>
      <c r="W77" s="4">
        <v>282617.52</v>
      </c>
      <c r="X77" s="4">
        <v>312579.51</v>
      </c>
      <c r="Y77" s="4">
        <v>353980.98</v>
      </c>
      <c r="Z77" s="4">
        <v>381433.64</v>
      </c>
      <c r="AA77" s="4">
        <v>409327.55</v>
      </c>
      <c r="AB77" s="4">
        <v>398806.24</v>
      </c>
      <c r="AC77" s="4">
        <v>390278.59</v>
      </c>
      <c r="AD77" s="4">
        <v>353530.44</v>
      </c>
      <c r="AE77" s="4">
        <v>344528.53</v>
      </c>
      <c r="AF77" s="4">
        <v>405980.27</v>
      </c>
    </row>
    <row r="78">
      <c r="A78" s="3" t="s">
        <v>72</v>
      </c>
      <c r="B78" s="4">
        <v>37462.3</v>
      </c>
      <c r="C78" s="4">
        <v>38915.77</v>
      </c>
      <c r="D78" s="4">
        <v>41806.4</v>
      </c>
      <c r="E78" s="4">
        <v>65377.48</v>
      </c>
      <c r="F78" s="4">
        <v>37478.31</v>
      </c>
      <c r="G78" s="4">
        <v>39473.32</v>
      </c>
      <c r="H78" s="4">
        <v>40062.29</v>
      </c>
      <c r="I78" s="4">
        <v>49747.7</v>
      </c>
      <c r="J78" s="4">
        <v>49584.85</v>
      </c>
      <c r="K78" s="4">
        <v>71707.29</v>
      </c>
      <c r="L78" s="4">
        <v>35370.04</v>
      </c>
      <c r="M78" s="4">
        <v>42556.48</v>
      </c>
      <c r="N78" s="4">
        <v>39406.2</v>
      </c>
      <c r="O78" s="4">
        <v>39815.21</v>
      </c>
      <c r="P78" s="4">
        <v>46902.82</v>
      </c>
      <c r="Q78" s="4">
        <v>76627.07</v>
      </c>
      <c r="R78" s="4">
        <v>50573.96</v>
      </c>
      <c r="S78" s="4">
        <v>30088.31</v>
      </c>
      <c r="T78" s="4">
        <v>30510.07</v>
      </c>
      <c r="U78" s="4">
        <v>30145.93</v>
      </c>
      <c r="V78" s="4">
        <v>24420.52</v>
      </c>
      <c r="W78" s="4">
        <v>32719.91</v>
      </c>
      <c r="X78" s="4">
        <v>17932.57</v>
      </c>
      <c r="Y78" s="4">
        <v>16935.18</v>
      </c>
      <c r="Z78" s="4">
        <v>17813.01</v>
      </c>
      <c r="AA78" s="4">
        <v>28247.05</v>
      </c>
      <c r="AB78" s="4">
        <v>13763.05</v>
      </c>
      <c r="AC78" s="4">
        <v>39435.7</v>
      </c>
      <c r="AD78" s="4">
        <v>24799.07</v>
      </c>
      <c r="AE78" s="4">
        <v>28491.28</v>
      </c>
      <c r="AF78" s="4">
        <v>38238.49</v>
      </c>
    </row>
    <row r="79">
      <c r="A79" s="3" t="s">
        <v>73</v>
      </c>
      <c r="B79" s="4">
        <v>0.0</v>
      </c>
      <c r="C79" s="4">
        <v>2280.0</v>
      </c>
      <c r="D79" s="4">
        <v>0.0</v>
      </c>
      <c r="E79" s="4">
        <v>0.0</v>
      </c>
      <c r="F79" s="4">
        <v>3250.0</v>
      </c>
      <c r="G79" s="4">
        <v>3281.0</v>
      </c>
      <c r="H79" s="4">
        <v>3324.0</v>
      </c>
      <c r="I79" s="4">
        <v>1336.0</v>
      </c>
      <c r="J79" s="4">
        <v>1675.0</v>
      </c>
      <c r="K79" s="4">
        <v>5088.0</v>
      </c>
      <c r="L79" s="4">
        <v>864.0</v>
      </c>
      <c r="M79" s="4">
        <v>2247.9</v>
      </c>
      <c r="N79" s="4">
        <v>3336.0</v>
      </c>
      <c r="O79" s="4">
        <v>3116.5</v>
      </c>
      <c r="P79" s="4">
        <v>2952.0</v>
      </c>
      <c r="Q79" s="4">
        <v>5175.0</v>
      </c>
      <c r="R79" s="4">
        <v>4824.2</v>
      </c>
      <c r="S79" s="4">
        <v>6588.6</v>
      </c>
      <c r="T79" s="4">
        <v>4641.7</v>
      </c>
      <c r="U79" s="4">
        <v>1771.0</v>
      </c>
      <c r="V79" s="4">
        <v>720.0</v>
      </c>
      <c r="W79" s="4">
        <v>384.0</v>
      </c>
      <c r="X79" s="4">
        <v>942.24</v>
      </c>
      <c r="Y79" s="4">
        <v>504.0</v>
      </c>
      <c r="Z79" s="4">
        <v>1714.0</v>
      </c>
      <c r="AA79" s="4">
        <v>5307.6</v>
      </c>
      <c r="AB79" s="4">
        <v>166.5</v>
      </c>
      <c r="AC79" s="4">
        <v>4508.6</v>
      </c>
      <c r="AD79" s="4">
        <v>1384.9</v>
      </c>
      <c r="AE79" s="4">
        <v>2476.1</v>
      </c>
      <c r="AF79" s="4">
        <v>1110.4</v>
      </c>
    </row>
    <row r="80">
      <c r="A80" s="3" t="s">
        <v>74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>
        <v>0.0</v>
      </c>
      <c r="AA80" s="4">
        <v>0.0</v>
      </c>
      <c r="AB80" s="4">
        <v>9326.25</v>
      </c>
      <c r="AC80" s="4">
        <v>5899.56</v>
      </c>
      <c r="AD80" s="4">
        <v>3224.2</v>
      </c>
      <c r="AE80" s="4">
        <v>9989.8</v>
      </c>
      <c r="AF80" s="4">
        <v>5925.2</v>
      </c>
    </row>
    <row r="81">
      <c r="A81" s="3" t="s">
        <v>75</v>
      </c>
      <c r="B81" s="4">
        <v>34301.0</v>
      </c>
      <c r="C81" s="4">
        <v>38725.0</v>
      </c>
      <c r="D81" s="4">
        <v>50045.0</v>
      </c>
      <c r="E81" s="4">
        <v>49840.0</v>
      </c>
      <c r="F81" s="4">
        <v>50165.0</v>
      </c>
      <c r="G81" s="4">
        <v>50265.0</v>
      </c>
      <c r="H81" s="4">
        <v>55682.5</v>
      </c>
      <c r="I81" s="4">
        <v>55945.0</v>
      </c>
      <c r="J81" s="4">
        <v>55645.0</v>
      </c>
      <c r="K81" s="4">
        <v>61645.0</v>
      </c>
      <c r="L81" s="4">
        <v>55645.0</v>
      </c>
      <c r="M81" s="4">
        <v>55645.0</v>
      </c>
      <c r="N81" s="4">
        <v>55645.0</v>
      </c>
      <c r="O81" s="4">
        <v>56645.0</v>
      </c>
      <c r="P81" s="4">
        <v>58975.0</v>
      </c>
      <c r="Q81" s="4">
        <v>57017.0</v>
      </c>
      <c r="R81" s="4">
        <v>56645.0</v>
      </c>
      <c r="S81" s="4">
        <v>56645.0</v>
      </c>
      <c r="T81" s="4">
        <v>56645.0</v>
      </c>
      <c r="U81" s="4">
        <v>37250.0</v>
      </c>
      <c r="V81" s="4">
        <v>13133.44</v>
      </c>
      <c r="W81" s="4">
        <v>13133.44</v>
      </c>
      <c r="X81" s="4">
        <v>13133.44</v>
      </c>
      <c r="Y81" s="4">
        <v>14800.32</v>
      </c>
      <c r="Z81" s="4">
        <v>14700.0</v>
      </c>
      <c r="AA81" s="4">
        <v>13860.0</v>
      </c>
      <c r="AB81" s="4">
        <v>13905.0</v>
      </c>
      <c r="AC81" s="4">
        <v>14065.0</v>
      </c>
      <c r="AD81" s="4">
        <v>13860.0</v>
      </c>
      <c r="AE81" s="4">
        <v>13860.0</v>
      </c>
      <c r="AF81" s="4">
        <v>13860.0</v>
      </c>
    </row>
    <row r="82">
      <c r="A82" s="3" t="s">
        <v>76</v>
      </c>
      <c r="B82" s="4">
        <v>104.97</v>
      </c>
      <c r="C82" s="4">
        <v>0.0</v>
      </c>
      <c r="D82" s="4">
        <v>491.26</v>
      </c>
      <c r="E82" s="4">
        <v>727.87</v>
      </c>
      <c r="F82" s="4">
        <v>0.0</v>
      </c>
      <c r="G82" s="4">
        <v>0.0</v>
      </c>
      <c r="H82" s="4">
        <v>0.0</v>
      </c>
      <c r="I82" s="4">
        <v>58.47</v>
      </c>
      <c r="J82" s="4">
        <v>100.0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75.0</v>
      </c>
      <c r="R82" s="4">
        <v>0.0</v>
      </c>
      <c r="S82" s="4">
        <v>0.0</v>
      </c>
      <c r="T82" s="4">
        <v>0.0</v>
      </c>
      <c r="U82" s="4">
        <v>400.0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>
        <v>0.0</v>
      </c>
      <c r="AE82" s="4"/>
      <c r="AF82" s="4">
        <v>0.0</v>
      </c>
    </row>
    <row r="83">
      <c r="A83" s="3" t="s">
        <v>77</v>
      </c>
      <c r="B83" s="4">
        <v>15439.54</v>
      </c>
      <c r="C83" s="4">
        <v>8244.33</v>
      </c>
      <c r="D83" s="4">
        <v>26876.53</v>
      </c>
      <c r="E83" s="4">
        <v>75133.86</v>
      </c>
      <c r="F83" s="4">
        <v>74913.7</v>
      </c>
      <c r="G83" s="4">
        <v>3529.76</v>
      </c>
      <c r="H83" s="4">
        <v>12729.55</v>
      </c>
      <c r="I83" s="4">
        <v>19390.51</v>
      </c>
      <c r="J83" s="4">
        <v>27764.06</v>
      </c>
      <c r="K83" s="4">
        <v>42276.24</v>
      </c>
      <c r="L83" s="4">
        <v>23146.74</v>
      </c>
      <c r="M83" s="4">
        <v>25377.68</v>
      </c>
      <c r="N83" s="4">
        <v>18725.68</v>
      </c>
      <c r="O83" s="4">
        <v>18439.93</v>
      </c>
      <c r="P83" s="4">
        <v>19849.74</v>
      </c>
      <c r="Q83" s="4">
        <v>16990.23</v>
      </c>
      <c r="R83" s="4">
        <v>15422.27</v>
      </c>
      <c r="S83" s="4">
        <v>27346.0</v>
      </c>
      <c r="T83" s="4">
        <v>33204.86</v>
      </c>
      <c r="U83" s="4">
        <v>48862.51</v>
      </c>
      <c r="V83" s="4">
        <v>24709.58</v>
      </c>
      <c r="W83" s="4">
        <v>46173.43</v>
      </c>
      <c r="X83" s="4">
        <v>31206.26</v>
      </c>
      <c r="Y83" s="4">
        <v>38887.18</v>
      </c>
      <c r="Z83" s="4">
        <v>20676.38</v>
      </c>
      <c r="AA83" s="4">
        <v>16937.36</v>
      </c>
      <c r="AB83" s="4">
        <v>9000.68</v>
      </c>
      <c r="AC83" s="4">
        <v>14227.16</v>
      </c>
      <c r="AD83" s="4">
        <v>9156.69</v>
      </c>
      <c r="AE83" s="4">
        <v>5142.5</v>
      </c>
      <c r="AF83" s="4">
        <v>24829.3</v>
      </c>
    </row>
    <row r="84">
      <c r="A84" s="3" t="s">
        <v>78</v>
      </c>
      <c r="B84" s="4">
        <v>19.08</v>
      </c>
      <c r="C84" s="4">
        <v>19.08</v>
      </c>
      <c r="D84" s="4">
        <v>19.08</v>
      </c>
      <c r="E84" s="4">
        <v>116.4</v>
      </c>
      <c r="F84" s="4">
        <v>19.08</v>
      </c>
      <c r="G84" s="4">
        <v>19.12</v>
      </c>
      <c r="H84" s="4">
        <v>19.12</v>
      </c>
      <c r="I84" s="4">
        <v>2377.46</v>
      </c>
      <c r="J84" s="4">
        <v>138.53</v>
      </c>
      <c r="K84" s="4">
        <v>79.91</v>
      </c>
      <c r="L84" s="4">
        <v>3124.18</v>
      </c>
      <c r="M84" s="4">
        <v>3183.76</v>
      </c>
      <c r="N84" s="4">
        <v>3124.18</v>
      </c>
      <c r="O84" s="4">
        <v>3235.45</v>
      </c>
      <c r="P84" s="4">
        <v>3267.91</v>
      </c>
      <c r="Q84" s="4">
        <v>3192.43</v>
      </c>
      <c r="R84" s="4">
        <v>3999.65</v>
      </c>
      <c r="S84" s="4">
        <v>3442.16</v>
      </c>
      <c r="T84" s="4">
        <v>3437.71</v>
      </c>
      <c r="U84" s="4">
        <v>3216.2</v>
      </c>
      <c r="V84" s="4">
        <v>3118.21</v>
      </c>
      <c r="W84" s="4">
        <v>3103.9</v>
      </c>
      <c r="X84" s="4">
        <v>0.0</v>
      </c>
      <c r="Y84" s="4">
        <v>0.0</v>
      </c>
      <c r="Z84" s="4">
        <v>95.51</v>
      </c>
      <c r="AA84" s="4">
        <v>0.0</v>
      </c>
      <c r="AB84" s="4">
        <v>0.0</v>
      </c>
      <c r="AC84" s="4">
        <v>0.0</v>
      </c>
      <c r="AD84" s="4">
        <v>0.0</v>
      </c>
      <c r="AE84" s="4"/>
      <c r="AF84" s="4">
        <v>0.0</v>
      </c>
    </row>
    <row r="85">
      <c r="A85" s="3" t="s">
        <v>79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22424.25</v>
      </c>
      <c r="I85" s="4">
        <v>0.0</v>
      </c>
      <c r="J85" s="4">
        <v>62625.0</v>
      </c>
      <c r="K85" s="4">
        <v>33870.72</v>
      </c>
      <c r="L85" s="4">
        <v>0.0</v>
      </c>
      <c r="M85" s="4">
        <v>18195.72</v>
      </c>
      <c r="N85" s="4">
        <v>0.0</v>
      </c>
      <c r="O85" s="4">
        <v>181.21</v>
      </c>
      <c r="P85" s="4">
        <v>0.0</v>
      </c>
      <c r="Q85" s="4">
        <v>31900.0</v>
      </c>
      <c r="R85" s="4">
        <v>149.0</v>
      </c>
      <c r="S85" s="4">
        <v>0.0</v>
      </c>
      <c r="T85" s="4">
        <v>0.0</v>
      </c>
      <c r="U85" s="4">
        <v>0.0</v>
      </c>
      <c r="V85" s="4">
        <v>16617.24</v>
      </c>
      <c r="W85" s="4">
        <v>15230.77</v>
      </c>
      <c r="X85" s="4">
        <v>16812.13</v>
      </c>
      <c r="Y85" s="4">
        <v>16558.62</v>
      </c>
      <c r="Z85" s="4">
        <v>16500.0</v>
      </c>
      <c r="AA85" s="4">
        <v>16500.0</v>
      </c>
      <c r="AB85" s="4">
        <v>16500.0</v>
      </c>
      <c r="AC85" s="4">
        <v>8376.94</v>
      </c>
      <c r="AD85" s="4">
        <v>0.0</v>
      </c>
      <c r="AE85" s="4">
        <v>25181.21</v>
      </c>
      <c r="AF85" s="4">
        <v>151181.21</v>
      </c>
    </row>
    <row r="86">
      <c r="A86" s="3" t="s">
        <v>80</v>
      </c>
      <c r="B86" s="4">
        <v>21614.39</v>
      </c>
      <c r="C86" s="4">
        <v>33425.76</v>
      </c>
      <c r="D86" s="4">
        <v>30403.2</v>
      </c>
      <c r="E86" s="4">
        <v>37698.81</v>
      </c>
      <c r="F86" s="4">
        <v>36106.64</v>
      </c>
      <c r="G86" s="4">
        <v>49045.29</v>
      </c>
      <c r="H86" s="4">
        <v>45039.57</v>
      </c>
      <c r="I86" s="4">
        <v>53896.11</v>
      </c>
      <c r="J86" s="4">
        <v>46761.66</v>
      </c>
      <c r="K86" s="4">
        <v>49463.71</v>
      </c>
      <c r="L86" s="4">
        <v>47158.68</v>
      </c>
      <c r="M86" s="4">
        <v>53223.87</v>
      </c>
      <c r="N86" s="4">
        <v>46799.88</v>
      </c>
      <c r="O86" s="4">
        <v>48782.6</v>
      </c>
      <c r="P86" s="4">
        <v>52313.27</v>
      </c>
      <c r="Q86" s="4">
        <v>55203.0</v>
      </c>
      <c r="R86" s="4">
        <v>69801.75</v>
      </c>
      <c r="S86" s="4">
        <v>59026.12</v>
      </c>
      <c r="T86" s="4">
        <v>70406.91</v>
      </c>
      <c r="U86" s="4">
        <v>58315.4</v>
      </c>
      <c r="V86" s="4">
        <v>51186.54</v>
      </c>
      <c r="W86" s="4">
        <v>60828.74</v>
      </c>
      <c r="X86" s="4">
        <v>62053.71</v>
      </c>
      <c r="Y86" s="4">
        <v>72428.19</v>
      </c>
      <c r="Z86" s="4">
        <v>72148.35</v>
      </c>
      <c r="AA86" s="4">
        <v>90548.3</v>
      </c>
      <c r="AB86" s="4">
        <v>79652.26</v>
      </c>
      <c r="AC86" s="4">
        <v>71223.54</v>
      </c>
      <c r="AD86" s="4">
        <v>86530.4</v>
      </c>
      <c r="AE86" s="4">
        <v>134871.29</v>
      </c>
      <c r="AF86" s="4">
        <v>161398.29</v>
      </c>
    </row>
    <row r="87">
      <c r="A87" s="3" t="s">
        <v>81</v>
      </c>
      <c r="B87" s="4">
        <v>3836.47</v>
      </c>
      <c r="C87" s="4">
        <v>4977.53</v>
      </c>
      <c r="D87" s="4">
        <v>4440.02</v>
      </c>
      <c r="E87" s="4">
        <v>5687.63</v>
      </c>
      <c r="F87" s="4">
        <v>5757.71</v>
      </c>
      <c r="G87" s="4">
        <v>110.93</v>
      </c>
      <c r="H87" s="4">
        <v>6773.51</v>
      </c>
      <c r="I87" s="4">
        <v>6280.89</v>
      </c>
      <c r="J87" s="4">
        <v>5633.29</v>
      </c>
      <c r="K87" s="4">
        <v>5694.88</v>
      </c>
      <c r="L87" s="4">
        <v>6158.44</v>
      </c>
      <c r="M87" s="4">
        <v>6486.96</v>
      </c>
      <c r="N87" s="4">
        <v>44.48</v>
      </c>
      <c r="O87" s="4">
        <v>889.19</v>
      </c>
      <c r="P87" s="4">
        <v>0.0</v>
      </c>
      <c r="Q87" s="4">
        <v>0.0</v>
      </c>
      <c r="R87" s="4">
        <v>10.41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/>
      <c r="AA87" s="4"/>
      <c r="AB87" s="4"/>
      <c r="AC87" s="4"/>
      <c r="AD87" s="4"/>
      <c r="AE87" s="4"/>
      <c r="AF87" s="4"/>
    </row>
    <row r="88">
      <c r="A88" s="3" t="s">
        <v>82</v>
      </c>
      <c r="B88" s="4">
        <v>0.0</v>
      </c>
      <c r="C88" s="4">
        <v>476.69</v>
      </c>
      <c r="D88" s="4">
        <v>0.0</v>
      </c>
      <c r="E88" s="4">
        <v>0.0</v>
      </c>
      <c r="F88" s="4">
        <v>0.0</v>
      </c>
      <c r="G88" s="4">
        <v>0.0</v>
      </c>
      <c r="H88" s="4">
        <v>-497.65</v>
      </c>
      <c r="I88" s="4">
        <v>0.0</v>
      </c>
      <c r="J88" s="4">
        <v>135.29</v>
      </c>
      <c r="K88" s="4">
        <v>0.0</v>
      </c>
      <c r="L88" s="4">
        <v>0.0</v>
      </c>
      <c r="M88" s="4">
        <v>4368.25</v>
      </c>
      <c r="N88" s="4">
        <v>0.0</v>
      </c>
      <c r="O88" s="4">
        <v>0.0</v>
      </c>
      <c r="P88" s="4">
        <v>178.53</v>
      </c>
      <c r="Q88" s="4">
        <v>684.19</v>
      </c>
      <c r="R88" s="4">
        <v>0.0</v>
      </c>
      <c r="S88" s="4">
        <v>3190.97</v>
      </c>
      <c r="T88" s="4">
        <v>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/>
      <c r="AF88" s="4"/>
    </row>
    <row r="89">
      <c r="A89" s="3" t="s">
        <v>83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>
        <v>0.0</v>
      </c>
      <c r="AA89" s="4">
        <v>0.0</v>
      </c>
      <c r="AB89" s="4">
        <v>7000.0</v>
      </c>
      <c r="AC89" s="4">
        <v>0.0</v>
      </c>
      <c r="AD89" s="4">
        <v>0.0</v>
      </c>
      <c r="AE89" s="4"/>
      <c r="AF89" s="4">
        <v>0.0</v>
      </c>
    </row>
    <row r="90">
      <c r="A90" s="3" t="s">
        <v>84</v>
      </c>
      <c r="B90" s="4">
        <v>0.0</v>
      </c>
      <c r="C90" s="4">
        <v>0.0</v>
      </c>
      <c r="D90" s="4">
        <v>0.0</v>
      </c>
      <c r="E90" s="4">
        <v>0.0</v>
      </c>
      <c r="F90" s="4">
        <v>4184.94</v>
      </c>
      <c r="G90" s="4">
        <v>0.0</v>
      </c>
      <c r="H90" s="4">
        <v>0.0</v>
      </c>
      <c r="I90" s="4">
        <v>875.0</v>
      </c>
      <c r="J90" s="4">
        <v>312.0</v>
      </c>
      <c r="K90" s="4">
        <v>0.0</v>
      </c>
      <c r="L90" s="4">
        <v>3796.19</v>
      </c>
      <c r="M90" s="4">
        <v>1990.3</v>
      </c>
      <c r="N90" s="4">
        <v>24213.69</v>
      </c>
      <c r="O90" s="4">
        <v>3986.75</v>
      </c>
      <c r="P90" s="4">
        <v>10518.04</v>
      </c>
      <c r="Q90" s="4">
        <v>36441.98</v>
      </c>
      <c r="R90" s="4">
        <v>7050.63</v>
      </c>
      <c r="S90" s="4">
        <v>0.0</v>
      </c>
      <c r="T90" s="4">
        <v>0.0</v>
      </c>
      <c r="U90" s="4">
        <v>4023.54</v>
      </c>
      <c r="V90" s="4">
        <v>0.0</v>
      </c>
      <c r="W90" s="4">
        <v>478.58</v>
      </c>
      <c r="X90" s="4">
        <v>1244.92</v>
      </c>
      <c r="Y90" s="4">
        <v>684.79</v>
      </c>
      <c r="Z90" s="4">
        <v>229.06</v>
      </c>
      <c r="AA90" s="4">
        <v>336.41</v>
      </c>
      <c r="AB90" s="4">
        <v>35.78</v>
      </c>
      <c r="AC90" s="4">
        <v>33.0</v>
      </c>
      <c r="AD90" s="4">
        <v>2916.24</v>
      </c>
      <c r="AE90" s="4"/>
      <c r="AF90" s="4">
        <v>3394.39</v>
      </c>
    </row>
    <row r="91">
      <c r="A91" s="3" t="s">
        <v>85</v>
      </c>
      <c r="B91" s="4">
        <v>5642.91</v>
      </c>
      <c r="C91" s="4">
        <v>5642.91</v>
      </c>
      <c r="D91" s="4">
        <v>5642.91</v>
      </c>
      <c r="E91" s="4">
        <v>5642.91</v>
      </c>
      <c r="F91" s="4">
        <v>5642.87</v>
      </c>
      <c r="G91" s="4">
        <v>3978.4</v>
      </c>
      <c r="H91" s="4">
        <v>3978.4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3" t="s">
        <v>86</v>
      </c>
      <c r="B92" s="4">
        <v>3786.47</v>
      </c>
      <c r="C92" s="4">
        <v>3786.47</v>
      </c>
      <c r="D92" s="4">
        <v>3786.47</v>
      </c>
      <c r="E92" s="4">
        <v>3786.47</v>
      </c>
      <c r="F92" s="4">
        <v>5733.18</v>
      </c>
      <c r="G92" s="4">
        <v>8104.97</v>
      </c>
      <c r="H92" s="4">
        <v>5052.74</v>
      </c>
      <c r="I92" s="4">
        <v>9031.14</v>
      </c>
      <c r="J92" s="4">
        <v>10646.14</v>
      </c>
      <c r="K92" s="4">
        <v>9031.14</v>
      </c>
      <c r="L92" s="4">
        <v>9219.96</v>
      </c>
      <c r="M92" s="4">
        <v>5179.94</v>
      </c>
      <c r="N92" s="4">
        <v>12599.66</v>
      </c>
      <c r="O92" s="4">
        <v>12599.66</v>
      </c>
      <c r="P92" s="4">
        <v>12599.66</v>
      </c>
      <c r="Q92" s="4">
        <v>12599.64</v>
      </c>
      <c r="R92" s="4">
        <v>10600.88</v>
      </c>
      <c r="S92" s="4">
        <v>13023.99</v>
      </c>
      <c r="T92" s="4">
        <v>15258.46</v>
      </c>
      <c r="U92" s="4">
        <v>15263.28</v>
      </c>
      <c r="V92" s="4">
        <v>15263.09</v>
      </c>
      <c r="W92" s="4">
        <v>17643.67</v>
      </c>
      <c r="X92" s="4">
        <v>16411.87</v>
      </c>
      <c r="Y92" s="4">
        <v>30747.15</v>
      </c>
      <c r="Z92" s="4">
        <v>18194.23</v>
      </c>
      <c r="AA92" s="4">
        <v>14395.33</v>
      </c>
      <c r="AB92" s="4">
        <v>18194.23</v>
      </c>
      <c r="AC92" s="4">
        <v>18194.23</v>
      </c>
      <c r="AD92" s="4">
        <v>18194.29</v>
      </c>
      <c r="AE92" s="4">
        <v>14560.52</v>
      </c>
      <c r="AF92" s="4">
        <v>19456.39</v>
      </c>
    </row>
    <row r="93">
      <c r="A93" s="3" t="s">
        <v>87</v>
      </c>
      <c r="B93" s="4">
        <v>4166.67</v>
      </c>
      <c r="C93" s="4">
        <v>4166.67</v>
      </c>
      <c r="D93" s="4">
        <v>4166.66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6583.97</v>
      </c>
      <c r="L93" s="4">
        <v>0.0</v>
      </c>
      <c r="M93" s="4">
        <v>0.0</v>
      </c>
      <c r="N93" s="4">
        <v>3719.38</v>
      </c>
      <c r="O93" s="4">
        <v>0.0</v>
      </c>
      <c r="P93" s="4">
        <v>0.0</v>
      </c>
      <c r="Q93" s="4">
        <v>1655.3</v>
      </c>
      <c r="R93" s="4">
        <v>8000.0</v>
      </c>
      <c r="S93" s="4">
        <v>0.0</v>
      </c>
      <c r="T93" s="4">
        <v>0.0</v>
      </c>
      <c r="U93" s="4">
        <v>0.0</v>
      </c>
      <c r="V93" s="4">
        <v>0.0</v>
      </c>
      <c r="W93" s="4">
        <v>4516.0</v>
      </c>
      <c r="X93" s="4">
        <v>4231.0</v>
      </c>
      <c r="Y93" s="4">
        <v>21.42</v>
      </c>
      <c r="Z93" s="4">
        <v>0.0</v>
      </c>
      <c r="AA93" s="4">
        <v>0.0</v>
      </c>
      <c r="AB93" s="4">
        <v>100.0</v>
      </c>
      <c r="AC93" s="4">
        <v>13700.0</v>
      </c>
      <c r="AD93" s="4">
        <v>0.0</v>
      </c>
      <c r="AE93" s="4">
        <v>6893.65</v>
      </c>
      <c r="AF93" s="4">
        <v>135.24</v>
      </c>
    </row>
    <row r="94">
      <c r="A94" s="3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3" t="s">
        <v>89</v>
      </c>
      <c r="B95" s="4">
        <v>489627.60999999987</v>
      </c>
      <c r="C95" s="4">
        <v>501559.53</v>
      </c>
      <c r="D95" s="4">
        <v>629263.55</v>
      </c>
      <c r="E95" s="4">
        <v>747508.3400000001</v>
      </c>
      <c r="F95" s="4">
        <v>670795.0099999998</v>
      </c>
      <c r="G95" s="4">
        <v>585759.41</v>
      </c>
      <c r="H95" s="4">
        <v>622335.84</v>
      </c>
      <c r="I95" s="4">
        <v>589613.5800000001</v>
      </c>
      <c r="J95" s="4">
        <v>653405.9800000002</v>
      </c>
      <c r="K95" s="4">
        <v>955207.08</v>
      </c>
      <c r="L95" s="4">
        <v>611545.72</v>
      </c>
      <c r="M95" s="4">
        <v>616082.3999999999</v>
      </c>
      <c r="N95" s="4">
        <v>629817.42</v>
      </c>
      <c r="O95" s="4">
        <v>591786.5799999998</v>
      </c>
      <c r="P95" s="4">
        <v>680377.8700000001</v>
      </c>
      <c r="Q95" s="4">
        <v>726787.1300000001</v>
      </c>
      <c r="R95" s="4">
        <v>700367.4800000001</v>
      </c>
      <c r="S95" s="4">
        <v>794267.18</v>
      </c>
      <c r="T95" s="4">
        <v>719368.1699999999</v>
      </c>
      <c r="U95" s="4">
        <v>592831.7900000002</v>
      </c>
      <c r="V95" s="4">
        <v>589867.78</v>
      </c>
      <c r="W95" s="4">
        <v>759388.86</v>
      </c>
      <c r="X95" s="4">
        <v>701052.3799999999</v>
      </c>
      <c r="Y95" s="4">
        <v>877714.4800000002</v>
      </c>
      <c r="Z95" s="4">
        <v>811046.5700000001</v>
      </c>
      <c r="AA95" s="4">
        <v>850677.01</v>
      </c>
      <c r="AB95" s="4">
        <v>858986.9800000001</v>
      </c>
      <c r="AC95" s="4">
        <v>920721.85</v>
      </c>
      <c r="AD95" s="4">
        <v>912846.9599999998</v>
      </c>
      <c r="AE95" s="4">
        <v>943528.53</v>
      </c>
      <c r="AF95" s="4">
        <v>1156680.3599999996</v>
      </c>
    </row>
    <row r="96">
      <c r="A96" s="3" t="s">
        <v>15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>
        <v>0.0</v>
      </c>
    </row>
    <row r="97">
      <c r="A97" s="10" t="s">
        <v>90</v>
      </c>
      <c r="B97" s="11">
        <v>106986.87000000034</v>
      </c>
      <c r="C97" s="11">
        <v>-28463.23999999999</v>
      </c>
      <c r="D97" s="11">
        <v>113032.09999999986</v>
      </c>
      <c r="E97" s="11">
        <v>-141851.14000000013</v>
      </c>
      <c r="F97" s="11">
        <v>-88604.16999999946</v>
      </c>
      <c r="G97" s="11">
        <v>251436.80000000005</v>
      </c>
      <c r="H97" s="11">
        <v>299018.73</v>
      </c>
      <c r="I97" s="11">
        <v>180976.85999999987</v>
      </c>
      <c r="J97" s="11">
        <v>34891.139999999665</v>
      </c>
      <c r="K97" s="11">
        <v>-300790.18999999994</v>
      </c>
      <c r="L97" s="11">
        <v>-4819.04999999993</v>
      </c>
      <c r="M97" s="11">
        <v>6884.429999999818</v>
      </c>
      <c r="N97" s="11">
        <v>72432.41999999993</v>
      </c>
      <c r="O97" s="11">
        <v>69342.9600000002</v>
      </c>
      <c r="P97" s="11">
        <v>-168836.4900000001</v>
      </c>
      <c r="Q97" s="11">
        <v>-275872.9900000002</v>
      </c>
      <c r="R97" s="11">
        <v>-178494.0200000006</v>
      </c>
      <c r="S97" s="11">
        <v>-150135.82999999996</v>
      </c>
      <c r="T97" s="11">
        <v>-209960.19999999995</v>
      </c>
      <c r="U97" s="11">
        <v>-320962.3100000002</v>
      </c>
      <c r="V97" s="11">
        <v>45602.990000000456</v>
      </c>
      <c r="W97" s="11">
        <v>-229729.38999999978</v>
      </c>
      <c r="X97" s="11">
        <v>-150816.91999999993</v>
      </c>
      <c r="Y97" s="11">
        <v>-276847.1000000003</v>
      </c>
      <c r="Z97" s="11">
        <v>-177536.85999999964</v>
      </c>
      <c r="AA97" s="11">
        <v>-230892.80999999982</v>
      </c>
      <c r="AB97" s="11">
        <v>-189558.49999999988</v>
      </c>
      <c r="AC97" s="11">
        <v>-103241.34999999974</v>
      </c>
      <c r="AD97" s="11">
        <v>-839888.0699999997</v>
      </c>
      <c r="AE97" s="11">
        <v>-1562404.5500000005</v>
      </c>
      <c r="AF97" s="11">
        <v>-2105085.839999998</v>
      </c>
    </row>
    <row r="98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3" t="s">
        <v>91</v>
      </c>
      <c r="B99" s="4" t="s">
        <v>46</v>
      </c>
      <c r="C99" s="4" t="s">
        <v>46</v>
      </c>
      <c r="D99" s="4" t="s">
        <v>46</v>
      </c>
      <c r="E99" s="4" t="s">
        <v>46</v>
      </c>
      <c r="F99" s="4" t="s">
        <v>46</v>
      </c>
      <c r="G99" s="4" t="s">
        <v>46</v>
      </c>
      <c r="H99" s="4" t="s">
        <v>46</v>
      </c>
      <c r="I99" s="4" t="s">
        <v>46</v>
      </c>
      <c r="J99" s="4" t="s">
        <v>46</v>
      </c>
      <c r="K99" s="4" t="s">
        <v>46</v>
      </c>
      <c r="L99" s="4" t="s">
        <v>46</v>
      </c>
      <c r="M99" s="4" t="s">
        <v>46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 t="s">
        <v>46</v>
      </c>
    </row>
    <row r="100">
      <c r="A100" s="3" t="s">
        <v>92</v>
      </c>
      <c r="B100" s="4">
        <v>0.0</v>
      </c>
      <c r="C100" s="4">
        <v>0.0</v>
      </c>
      <c r="D100" s="4">
        <v>0.0</v>
      </c>
      <c r="E100" s="4">
        <v>0.0</v>
      </c>
      <c r="F100" s="4">
        <v>568.25</v>
      </c>
      <c r="G100" s="4">
        <v>402.03</v>
      </c>
      <c r="H100" s="4">
        <v>1307.13</v>
      </c>
      <c r="I100" s="4">
        <v>2702.53</v>
      </c>
      <c r="J100" s="4">
        <v>2686.43</v>
      </c>
      <c r="K100" s="4">
        <v>1735.59</v>
      </c>
      <c r="L100" s="4">
        <v>539.89</v>
      </c>
      <c r="M100" s="4">
        <v>2.3</v>
      </c>
      <c r="N100" s="4">
        <v>2.3</v>
      </c>
      <c r="O100" s="4">
        <v>192.65</v>
      </c>
      <c r="P100" s="4">
        <v>324.35</v>
      </c>
      <c r="Q100" s="4">
        <v>111.47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2672.88</v>
      </c>
      <c r="Y100" s="4">
        <v>6231.29</v>
      </c>
      <c r="Z100" s="4">
        <v>9751.76</v>
      </c>
      <c r="AA100" s="4">
        <v>7802.88</v>
      </c>
      <c r="AB100" s="4">
        <v>8486.02</v>
      </c>
      <c r="AC100" s="4">
        <v>7948.95</v>
      </c>
      <c r="AD100" s="4">
        <v>7219.11</v>
      </c>
      <c r="AE100" s="4">
        <v>7006.81</v>
      </c>
      <c r="AF100" s="4">
        <v>6893.15</v>
      </c>
    </row>
    <row r="101">
      <c r="A101" s="3" t="s">
        <v>93</v>
      </c>
      <c r="B101" s="4">
        <v>-13261.67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3" t="s">
        <v>94</v>
      </c>
      <c r="B102" s="4">
        <v>11221.93</v>
      </c>
      <c r="C102" s="4">
        <v>13038.75</v>
      </c>
      <c r="D102" s="4">
        <v>13827.96</v>
      </c>
      <c r="E102" s="4">
        <v>17203.7</v>
      </c>
      <c r="F102" s="4">
        <v>14008.64</v>
      </c>
      <c r="G102" s="4">
        <v>14809.5</v>
      </c>
      <c r="H102" s="4">
        <v>9313.31</v>
      </c>
      <c r="I102" s="4">
        <v>14362.86</v>
      </c>
      <c r="J102" s="4">
        <v>55777.33</v>
      </c>
      <c r="K102" s="4">
        <v>13396.56</v>
      </c>
      <c r="L102" s="4">
        <v>8428.54</v>
      </c>
      <c r="M102" s="4">
        <v>20825.54</v>
      </c>
      <c r="N102" s="4">
        <v>7787.28</v>
      </c>
      <c r="O102" s="4">
        <v>58114.9</v>
      </c>
      <c r="P102" s="4">
        <v>16372.75</v>
      </c>
      <c r="Q102" s="4">
        <v>19827.88</v>
      </c>
      <c r="R102" s="4">
        <v>27879.18</v>
      </c>
      <c r="S102" s="4">
        <v>21773.59</v>
      </c>
      <c r="T102" s="4">
        <v>18873.96</v>
      </c>
      <c r="U102" s="4">
        <v>23703.76</v>
      </c>
      <c r="V102" s="4">
        <v>21434.99</v>
      </c>
      <c r="W102" s="4">
        <v>22069.21</v>
      </c>
      <c r="X102" s="4">
        <v>21225.71</v>
      </c>
      <c r="Y102" s="4">
        <v>156329.0</v>
      </c>
      <c r="Z102" s="4">
        <v>36240.88</v>
      </c>
      <c r="AA102" s="4">
        <v>59619.61</v>
      </c>
      <c r="AB102" s="4">
        <v>22481.04</v>
      </c>
      <c r="AC102" s="4">
        <v>48894.55</v>
      </c>
      <c r="AD102" s="4">
        <v>63120.4</v>
      </c>
      <c r="AE102" s="4">
        <v>102494.61</v>
      </c>
      <c r="AF102" s="4">
        <v>131185.23</v>
      </c>
    </row>
    <row r="103">
      <c r="A103" s="3" t="s">
        <v>95</v>
      </c>
      <c r="B103" s="4">
        <v>-4013.7</v>
      </c>
      <c r="C103" s="4">
        <v>-6520.55</v>
      </c>
      <c r="D103" s="4">
        <v>-7219.18</v>
      </c>
      <c r="E103" s="4">
        <v>-18812.33</v>
      </c>
      <c r="F103" s="4">
        <v>-26328.77</v>
      </c>
      <c r="G103" s="4">
        <v>-25479.45</v>
      </c>
      <c r="H103" s="4">
        <v>-26328.77</v>
      </c>
      <c r="I103" s="4">
        <v>-26328.77</v>
      </c>
      <c r="J103" s="4">
        <v>-25479.45</v>
      </c>
      <c r="K103" s="4">
        <v>-26139.41</v>
      </c>
      <c r="L103" s="4">
        <v>-30226.16</v>
      </c>
      <c r="M103" s="4">
        <v>-31934.52</v>
      </c>
      <c r="N103" s="4">
        <v>-27280.99</v>
      </c>
      <c r="O103" s="4">
        <v>-29337.12</v>
      </c>
      <c r="P103" s="4">
        <v>-31116.86</v>
      </c>
      <c r="Q103" s="4">
        <v>-30580.74</v>
      </c>
      <c r="R103" s="4">
        <v>-24910.08</v>
      </c>
      <c r="S103" s="4">
        <v>-8342.77</v>
      </c>
      <c r="T103" s="4">
        <v>-12566.96</v>
      </c>
      <c r="U103" s="4">
        <v>-14550.63</v>
      </c>
      <c r="V103" s="4">
        <v>-15390.62</v>
      </c>
      <c r="W103" s="4">
        <v>-24050.58</v>
      </c>
      <c r="X103" s="4">
        <v>-17757.6</v>
      </c>
      <c r="Y103" s="4">
        <v>-11683.42</v>
      </c>
      <c r="Z103" s="4">
        <v>-13542.63</v>
      </c>
      <c r="AA103" s="4">
        <v>-7964.65</v>
      </c>
      <c r="AB103" s="4">
        <v>-4246.58</v>
      </c>
      <c r="AC103" s="4">
        <v>-4246.58</v>
      </c>
      <c r="AD103" s="4">
        <v>-4246.58</v>
      </c>
      <c r="AE103" s="4">
        <v>-12323.52</v>
      </c>
      <c r="AF103" s="4">
        <v>-19852.49</v>
      </c>
    </row>
    <row r="104">
      <c r="A104" s="3" t="s">
        <v>96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-130000.0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-508586.68</v>
      </c>
      <c r="S104" s="6">
        <v>0.0</v>
      </c>
      <c r="T104" s="6">
        <v>0.0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-15987.84</v>
      </c>
      <c r="AB104" s="6">
        <v>0.0</v>
      </c>
      <c r="AC104" s="6">
        <v>9903.96</v>
      </c>
      <c r="AD104" s="6">
        <v>0.0</v>
      </c>
      <c r="AE104" s="6">
        <v>0.0</v>
      </c>
      <c r="AF104" s="6">
        <v>-111669.58</v>
      </c>
    </row>
    <row r="105">
      <c r="A105" s="3" t="s">
        <v>97</v>
      </c>
      <c r="B105" s="4">
        <v>-6053.44</v>
      </c>
      <c r="C105" s="4">
        <v>6518.2</v>
      </c>
      <c r="D105" s="4">
        <v>6608.779999999999</v>
      </c>
      <c r="E105" s="4">
        <v>-1608.630000000001</v>
      </c>
      <c r="F105" s="4">
        <v>-11751.880000000001</v>
      </c>
      <c r="G105" s="4">
        <v>-10267.92</v>
      </c>
      <c r="H105" s="4">
        <v>-15708.330000000002</v>
      </c>
      <c r="I105" s="4">
        <v>-9263.380000000001</v>
      </c>
      <c r="J105" s="4">
        <v>32984.31</v>
      </c>
      <c r="K105" s="4">
        <v>-141007.26</v>
      </c>
      <c r="L105" s="4">
        <v>-21257.73</v>
      </c>
      <c r="M105" s="4">
        <v>-11106.68</v>
      </c>
      <c r="N105" s="4">
        <v>-19491.410000000003</v>
      </c>
      <c r="O105" s="4">
        <v>28970.430000000004</v>
      </c>
      <c r="P105" s="4">
        <v>-14419.760000000002</v>
      </c>
      <c r="Q105" s="4">
        <v>-10641.39</v>
      </c>
      <c r="R105" s="4">
        <v>-505617.58</v>
      </c>
      <c r="S105" s="4">
        <v>13430.82</v>
      </c>
      <c r="T105" s="4">
        <v>6307.0</v>
      </c>
      <c r="U105" s="4">
        <v>9153.13</v>
      </c>
      <c r="V105" s="4">
        <v>6044.370000000001</v>
      </c>
      <c r="W105" s="4">
        <v>-1981.3700000000026</v>
      </c>
      <c r="X105" s="4">
        <v>6140.990000000002</v>
      </c>
      <c r="Y105" s="4">
        <v>150876.87</v>
      </c>
      <c r="Z105" s="4">
        <v>32450.010000000002</v>
      </c>
      <c r="AA105" s="4">
        <v>43470.0</v>
      </c>
      <c r="AB105" s="4">
        <v>26720.480000000003</v>
      </c>
      <c r="AC105" s="4">
        <v>62500.88</v>
      </c>
      <c r="AD105" s="4">
        <v>66092.93</v>
      </c>
      <c r="AE105" s="4">
        <v>97177.9</v>
      </c>
      <c r="AF105" s="4">
        <v>6556.309999999998</v>
      </c>
    </row>
    <row r="106">
      <c r="A106" s="3" t="s">
        <v>15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>
        <v>0.0</v>
      </c>
    </row>
    <row r="107">
      <c r="A107" s="14" t="s">
        <v>98</v>
      </c>
      <c r="B107" s="15">
        <v>100933.43000000034</v>
      </c>
      <c r="C107" s="15">
        <v>-21945.03999999999</v>
      </c>
      <c r="D107" s="15">
        <v>119640.87999999986</v>
      </c>
      <c r="E107" s="15">
        <v>-143459.77000000014</v>
      </c>
      <c r="F107" s="15">
        <v>-100356.04999999946</v>
      </c>
      <c r="G107" s="15">
        <v>241168.88000000003</v>
      </c>
      <c r="H107" s="15">
        <v>283310.39999999997</v>
      </c>
      <c r="I107" s="15">
        <v>171713.47999999986</v>
      </c>
      <c r="J107" s="15">
        <v>67875.44999999966</v>
      </c>
      <c r="K107" s="15">
        <v>-441797.44999999995</v>
      </c>
      <c r="L107" s="15">
        <v>-26076.77999999993</v>
      </c>
      <c r="M107" s="15">
        <v>-4222.250000000182</v>
      </c>
      <c r="N107" s="15">
        <v>52941.00999999992</v>
      </c>
      <c r="O107" s="15">
        <v>98313.3900000002</v>
      </c>
      <c r="P107" s="15">
        <v>-183256.25000000012</v>
      </c>
      <c r="Q107" s="15">
        <v>-286514.38000000024</v>
      </c>
      <c r="R107" s="15">
        <v>-684111.6000000006</v>
      </c>
      <c r="S107" s="15">
        <v>-136705.00999999995</v>
      </c>
      <c r="T107" s="15">
        <v>-203653.19999999995</v>
      </c>
      <c r="U107" s="15">
        <v>-311809.18000000017</v>
      </c>
      <c r="V107" s="15">
        <v>51647.36000000046</v>
      </c>
      <c r="W107" s="16">
        <v>-231710.75999999978</v>
      </c>
      <c r="X107" s="16">
        <v>-144675.92999999993</v>
      </c>
      <c r="Y107" s="16">
        <v>-125970.23000000033</v>
      </c>
      <c r="Z107" s="16">
        <v>-145086.84999999963</v>
      </c>
      <c r="AA107" s="16">
        <v>-187422.80999999982</v>
      </c>
      <c r="AB107" s="16">
        <v>-162838.01999999987</v>
      </c>
      <c r="AC107" s="16">
        <v>-40740.46999999975</v>
      </c>
      <c r="AD107" s="16">
        <v>-773795.1399999997</v>
      </c>
      <c r="AE107" s="16">
        <v>-1465226.6500000006</v>
      </c>
      <c r="AF107" s="16">
        <v>-2098529.529999998</v>
      </c>
    </row>
    <row r="108">
      <c r="A108" s="3"/>
    </row>
    <row r="109">
      <c r="A109" s="17" t="s">
        <v>90</v>
      </c>
      <c r="B109" s="18">
        <v>106986.87000000034</v>
      </c>
      <c r="C109" s="18">
        <v>-28463.23999999999</v>
      </c>
      <c r="D109" s="18">
        <v>113032.09999999986</v>
      </c>
      <c r="E109" s="18">
        <v>-141851.14000000013</v>
      </c>
      <c r="F109" s="18">
        <v>-88604.16999999946</v>
      </c>
      <c r="G109" s="18">
        <v>251436.80000000005</v>
      </c>
      <c r="H109" s="18">
        <v>299018.73</v>
      </c>
      <c r="I109" s="18">
        <v>180976.85999999987</v>
      </c>
      <c r="J109" s="18">
        <v>34891.139999999665</v>
      </c>
      <c r="K109" s="18">
        <v>-300790.18999999994</v>
      </c>
      <c r="L109" s="18">
        <v>-4819.04999999993</v>
      </c>
      <c r="M109" s="18">
        <v>6884.429999999818</v>
      </c>
      <c r="N109" s="18">
        <v>72432.41999999993</v>
      </c>
      <c r="O109" s="18">
        <v>69342.9600000002</v>
      </c>
      <c r="P109" s="18">
        <v>-168836.4900000001</v>
      </c>
      <c r="Q109" s="18">
        <v>-275872.9900000002</v>
      </c>
      <c r="R109" s="18">
        <v>-178494.0200000006</v>
      </c>
      <c r="S109" s="18">
        <v>-150135.82999999996</v>
      </c>
      <c r="T109" s="18">
        <v>-209960.19999999995</v>
      </c>
      <c r="U109" s="18">
        <v>-320962.3100000002</v>
      </c>
      <c r="V109" s="18">
        <v>45602.990000000456</v>
      </c>
      <c r="W109" s="18">
        <v>-229729.38999999978</v>
      </c>
      <c r="X109" s="18">
        <v>-150816.91999999993</v>
      </c>
      <c r="Y109" s="18">
        <v>-276847.1000000003</v>
      </c>
      <c r="Z109" s="18">
        <v>-177536.85999999964</v>
      </c>
      <c r="AA109" s="18">
        <v>-230892.80999999982</v>
      </c>
      <c r="AB109" s="18">
        <v>-189558.49999999988</v>
      </c>
      <c r="AC109" s="18">
        <v>-103241.34999999974</v>
      </c>
      <c r="AD109" s="18">
        <v>-839888.0699999997</v>
      </c>
      <c r="AE109" s="18">
        <v>-1562404.5500000005</v>
      </c>
      <c r="AF109" s="18">
        <v>-2105085.839999998</v>
      </c>
    </row>
    <row r="110">
      <c r="A110" s="3" t="s">
        <v>99</v>
      </c>
      <c r="B110" s="4">
        <v>11221.93</v>
      </c>
      <c r="C110" s="4">
        <v>13038.75</v>
      </c>
      <c r="D110" s="4">
        <v>13827.96</v>
      </c>
      <c r="E110" s="4">
        <v>17203.7</v>
      </c>
      <c r="F110" s="4">
        <v>14008.64</v>
      </c>
      <c r="G110" s="4">
        <v>14809.5</v>
      </c>
      <c r="H110" s="4">
        <v>9313.31</v>
      </c>
      <c r="I110" s="4">
        <v>14362.86</v>
      </c>
      <c r="J110" s="4">
        <v>55777.33</v>
      </c>
      <c r="K110" s="4">
        <v>13396.56</v>
      </c>
      <c r="L110" s="4">
        <v>8428.54</v>
      </c>
      <c r="M110" s="4">
        <v>20825.54</v>
      </c>
      <c r="N110" s="4">
        <v>7787.28</v>
      </c>
      <c r="O110" s="4">
        <v>58114.9</v>
      </c>
      <c r="P110" s="4">
        <v>16372.75</v>
      </c>
      <c r="Q110" s="4">
        <v>19827.88</v>
      </c>
      <c r="R110" s="4">
        <v>27879.18</v>
      </c>
      <c r="S110" s="4">
        <v>21773.59</v>
      </c>
      <c r="T110" s="4">
        <v>18873.96</v>
      </c>
      <c r="U110" s="4">
        <v>23703.76</v>
      </c>
      <c r="V110" s="4">
        <v>21434.99</v>
      </c>
      <c r="W110" s="4">
        <v>22069.21</v>
      </c>
      <c r="X110" s="4">
        <v>21225.71</v>
      </c>
      <c r="Y110" s="4">
        <v>156329.0</v>
      </c>
      <c r="Z110" s="4">
        <v>36240.88</v>
      </c>
      <c r="AA110" s="4">
        <v>59619.61</v>
      </c>
      <c r="AB110" s="4">
        <v>22481.04</v>
      </c>
      <c r="AC110" s="4">
        <v>48894.55</v>
      </c>
      <c r="AD110" s="4">
        <v>63120.4</v>
      </c>
      <c r="AE110" s="4">
        <v>102494.61</v>
      </c>
      <c r="AF110" s="4">
        <v>131185.23</v>
      </c>
    </row>
    <row r="111">
      <c r="A111" s="3" t="s">
        <v>100</v>
      </c>
      <c r="B111" s="4">
        <v>1891.82</v>
      </c>
      <c r="C111" s="4">
        <v>3435.18</v>
      </c>
      <c r="D111" s="4">
        <v>3608.61</v>
      </c>
      <c r="E111" s="4">
        <v>3798.97</v>
      </c>
      <c r="F111" s="4">
        <v>4185.99</v>
      </c>
      <c r="G111" s="4">
        <v>4358.77</v>
      </c>
      <c r="H111" s="4">
        <v>4955.56</v>
      </c>
      <c r="I111" s="4">
        <v>5332.23</v>
      </c>
      <c r="J111" s="4">
        <v>5635.68</v>
      </c>
      <c r="K111" s="4">
        <v>5733.41</v>
      </c>
      <c r="L111" s="4">
        <v>5733.41</v>
      </c>
      <c r="M111" s="4">
        <v>5733.41</v>
      </c>
      <c r="N111" s="4">
        <v>5733.29</v>
      </c>
      <c r="O111" s="4">
        <v>5695.84</v>
      </c>
      <c r="P111" s="4">
        <v>5656.02</v>
      </c>
      <c r="Q111" s="4">
        <v>5591.57</v>
      </c>
      <c r="R111" s="4">
        <v>5714.66</v>
      </c>
      <c r="S111" s="4">
        <v>5659.59</v>
      </c>
      <c r="T111" s="4">
        <v>5734.57</v>
      </c>
      <c r="U111" s="4">
        <v>5734.57</v>
      </c>
      <c r="V111" s="4">
        <v>5734.57</v>
      </c>
      <c r="W111" s="4">
        <v>5789.27</v>
      </c>
      <c r="X111" s="4">
        <v>6378.4</v>
      </c>
      <c r="Y111" s="4">
        <v>20756.47</v>
      </c>
      <c r="Z111" s="4">
        <v>7211.63</v>
      </c>
      <c r="AA111" s="4">
        <v>7127.65</v>
      </c>
      <c r="AB111" s="4">
        <v>7127.65</v>
      </c>
      <c r="AC111" s="4">
        <v>7127.83</v>
      </c>
      <c r="AD111" s="4">
        <v>7022.17</v>
      </c>
      <c r="AE111" s="4">
        <v>7013.52</v>
      </c>
      <c r="AF111" s="4">
        <v>7204.22</v>
      </c>
    </row>
    <row r="112">
      <c r="A112" s="3" t="s">
        <v>101</v>
      </c>
      <c r="B112" s="4">
        <v>5026.77</v>
      </c>
      <c r="C112" s="4">
        <v>5687.8</v>
      </c>
      <c r="D112" s="4">
        <v>6583.22</v>
      </c>
      <c r="E112" s="4">
        <v>8085.08</v>
      </c>
      <c r="F112" s="4">
        <v>9128.59</v>
      </c>
      <c r="G112" s="4">
        <v>10622.65</v>
      </c>
      <c r="H112" s="4">
        <v>14375.23</v>
      </c>
      <c r="I112" s="4">
        <v>18001.33</v>
      </c>
      <c r="J112" s="4">
        <v>23221.44</v>
      </c>
      <c r="K112" s="4">
        <v>27852.19</v>
      </c>
      <c r="L112" s="4">
        <v>30897.91</v>
      </c>
      <c r="M112" s="4">
        <v>34204.05</v>
      </c>
      <c r="N112" s="4">
        <v>36785.26</v>
      </c>
      <c r="O112" s="4">
        <v>39774.43</v>
      </c>
      <c r="P112" s="4">
        <v>43566.25</v>
      </c>
      <c r="Q112" s="4">
        <v>46324.1</v>
      </c>
      <c r="R112" s="4">
        <v>49719.89</v>
      </c>
      <c r="S112" s="4">
        <v>52916.18</v>
      </c>
      <c r="T112" s="4">
        <v>54197.42</v>
      </c>
      <c r="U112" s="4">
        <v>54135.53</v>
      </c>
      <c r="V112" s="4">
        <v>54050.38</v>
      </c>
      <c r="W112" s="4">
        <v>53922.99</v>
      </c>
      <c r="X112" s="4">
        <v>53759.67</v>
      </c>
      <c r="Y112" s="4">
        <v>97546.46</v>
      </c>
      <c r="Z112" s="4">
        <v>56109.43</v>
      </c>
      <c r="AA112" s="4">
        <v>55999.37</v>
      </c>
      <c r="AB112" s="4">
        <v>55945.09</v>
      </c>
      <c r="AC112" s="4">
        <v>55911.74</v>
      </c>
      <c r="AD112" s="4">
        <v>55843.2</v>
      </c>
      <c r="AE112" s="4">
        <v>55704.11</v>
      </c>
      <c r="AF112" s="4">
        <v>55468.2</v>
      </c>
    </row>
    <row r="113">
      <c r="A113" s="14" t="s">
        <v>102</v>
      </c>
      <c r="B113" s="19">
        <v>125127.39000000035</v>
      </c>
      <c r="C113" s="19">
        <v>-6301.50999999999</v>
      </c>
      <c r="D113" s="19">
        <v>137051.88999999984</v>
      </c>
      <c r="E113" s="19">
        <v>-112763.39000000013</v>
      </c>
      <c r="F113" s="19">
        <v>-61280.94999999946</v>
      </c>
      <c r="G113" s="19">
        <v>281227.7200000001</v>
      </c>
      <c r="H113" s="19">
        <v>327662.82999999996</v>
      </c>
      <c r="I113" s="19">
        <v>218673.27999999985</v>
      </c>
      <c r="J113" s="19">
        <v>119525.58999999968</v>
      </c>
      <c r="K113" s="19">
        <v>-253808.02999999997</v>
      </c>
      <c r="L113" s="19">
        <v>40240.81000000007</v>
      </c>
      <c r="M113" s="19">
        <v>67647.42999999982</v>
      </c>
      <c r="N113" s="19">
        <v>122738.24999999991</v>
      </c>
      <c r="O113" s="19">
        <v>172928.13000000018</v>
      </c>
      <c r="P113" s="19">
        <v>-103241.47000000012</v>
      </c>
      <c r="Q113" s="19">
        <v>-204129.4400000002</v>
      </c>
      <c r="R113" s="19">
        <v>-95180.2900000006</v>
      </c>
      <c r="S113" s="19">
        <v>-69786.46999999997</v>
      </c>
      <c r="T113" s="19">
        <v>-131154.24999999994</v>
      </c>
      <c r="U113" s="19">
        <v>-237388.45000000016</v>
      </c>
      <c r="V113" s="19">
        <v>126822.93000000046</v>
      </c>
      <c r="W113" s="19">
        <v>-147947.9199999998</v>
      </c>
      <c r="X113" s="19">
        <v>-69453.13999999994</v>
      </c>
      <c r="Y113" s="19">
        <v>-2215.1700000003184</v>
      </c>
      <c r="Z113" s="19">
        <v>-77974.91999999963</v>
      </c>
      <c r="AA113" s="19">
        <v>-108146.17999999985</v>
      </c>
      <c r="AB113" s="19">
        <v>-104004.71999999988</v>
      </c>
      <c r="AC113" s="19">
        <v>8692.770000000259</v>
      </c>
      <c r="AD113" s="19">
        <v>-713902.2999999997</v>
      </c>
      <c r="AE113" s="19">
        <v>-1397192.3100000003</v>
      </c>
      <c r="AF113" s="19">
        <v>-1911228.189999998</v>
      </c>
    </row>
    <row r="114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13"/>
  </cols>
  <sheetData>
    <row r="3">
      <c r="A3" s="17" t="s">
        <v>103</v>
      </c>
      <c r="B3" s="17" t="s">
        <v>46</v>
      </c>
      <c r="C3" s="17" t="s">
        <v>46</v>
      </c>
      <c r="D3" s="17" t="s">
        <v>46</v>
      </c>
      <c r="E3" s="17" t="s">
        <v>46</v>
      </c>
      <c r="F3" s="17" t="s">
        <v>46</v>
      </c>
      <c r="G3" s="17" t="s">
        <v>46</v>
      </c>
      <c r="H3" s="17" t="s">
        <v>46</v>
      </c>
      <c r="I3" s="17" t="s">
        <v>46</v>
      </c>
      <c r="J3" s="17" t="s">
        <v>46</v>
      </c>
      <c r="K3" s="17" t="s">
        <v>46</v>
      </c>
      <c r="L3" s="17" t="s">
        <v>46</v>
      </c>
      <c r="M3" s="17" t="s">
        <v>46</v>
      </c>
      <c r="N3" s="17" t="s">
        <v>46</v>
      </c>
      <c r="O3" s="17" t="s">
        <v>46</v>
      </c>
      <c r="P3" s="17" t="s">
        <v>46</v>
      </c>
      <c r="Q3" s="17" t="s">
        <v>46</v>
      </c>
      <c r="R3" s="17" t="s">
        <v>46</v>
      </c>
      <c r="S3" s="17" t="s">
        <v>46</v>
      </c>
      <c r="T3" s="17"/>
      <c r="U3" s="17"/>
      <c r="V3" s="17" t="s">
        <v>46</v>
      </c>
      <c r="W3" s="17"/>
      <c r="X3" s="17"/>
      <c r="Y3" s="17"/>
      <c r="Z3" s="17"/>
      <c r="AA3" s="17"/>
      <c r="AB3" s="22"/>
      <c r="AC3" s="22"/>
      <c r="AD3" s="22"/>
      <c r="AE3" s="22"/>
      <c r="AF3" s="22"/>
    </row>
    <row r="4">
      <c r="A4" s="3" t="s">
        <v>104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  <c r="R4" s="3" t="s">
        <v>17</v>
      </c>
      <c r="S4" s="3" t="s">
        <v>17</v>
      </c>
      <c r="T4" s="3"/>
      <c r="U4" s="3"/>
      <c r="V4" s="3" t="s">
        <v>17</v>
      </c>
      <c r="W4" s="3"/>
      <c r="X4" s="3"/>
      <c r="Y4" s="3"/>
      <c r="Z4" s="3"/>
      <c r="AA4" s="3"/>
      <c r="AB4" s="3"/>
      <c r="AC4" s="3"/>
      <c r="AD4" s="3"/>
    </row>
    <row r="5">
      <c r="A5" s="3" t="s">
        <v>105</v>
      </c>
      <c r="B5" s="23">
        <v>754346.03</v>
      </c>
      <c r="C5" s="23">
        <v>876608.52</v>
      </c>
      <c r="D5" s="23">
        <v>534286.69</v>
      </c>
      <c r="E5" s="23">
        <v>1215766.66</v>
      </c>
      <c r="F5" s="23">
        <v>622295.87</v>
      </c>
      <c r="G5" s="23">
        <v>405764.78</v>
      </c>
      <c r="H5" s="23">
        <v>376415.49</v>
      </c>
      <c r="I5" s="23">
        <v>448228.84</v>
      </c>
      <c r="J5" s="23">
        <v>316475.02</v>
      </c>
      <c r="K5" s="23">
        <v>148564.74</v>
      </c>
      <c r="L5" s="23">
        <v>125640.43</v>
      </c>
      <c r="M5" s="23">
        <v>258444.1</v>
      </c>
      <c r="N5" s="23">
        <v>251593.82</v>
      </c>
      <c r="O5" s="23">
        <v>287903.99</v>
      </c>
      <c r="P5" s="23">
        <v>215725.95</v>
      </c>
      <c r="Q5" s="23">
        <v>218600.29</v>
      </c>
      <c r="R5" s="23">
        <v>763635.67</v>
      </c>
      <c r="S5" s="23">
        <v>1383279.43</v>
      </c>
      <c r="T5" s="23">
        <v>1320992.45</v>
      </c>
      <c r="U5" s="23">
        <v>614425.68</v>
      </c>
      <c r="V5" s="23">
        <v>774996.97</v>
      </c>
      <c r="W5" s="23">
        <v>512257.74</v>
      </c>
      <c r="X5" s="23">
        <v>332627.7</v>
      </c>
      <c r="Y5" s="23">
        <v>381584.6</v>
      </c>
      <c r="Z5" s="23">
        <v>299165.14</v>
      </c>
      <c r="AA5" s="23">
        <v>572601.01</v>
      </c>
      <c r="AB5" s="23">
        <v>181770.91</v>
      </c>
      <c r="AC5" s="23">
        <v>109774.95</v>
      </c>
      <c r="AD5" s="23">
        <v>316546.68</v>
      </c>
      <c r="AE5" s="24">
        <v>247462.31</v>
      </c>
      <c r="AF5" s="24">
        <v>1237470.83</v>
      </c>
    </row>
    <row r="6">
      <c r="A6" s="3" t="s">
        <v>106</v>
      </c>
      <c r="B6" s="23">
        <v>0.0</v>
      </c>
      <c r="C6" s="23">
        <v>0.0</v>
      </c>
      <c r="D6" s="23">
        <v>0.0</v>
      </c>
      <c r="E6" s="23">
        <v>0.0</v>
      </c>
      <c r="F6" s="23">
        <v>250568.25</v>
      </c>
      <c r="G6" s="23">
        <v>400970.28</v>
      </c>
      <c r="H6" s="23">
        <v>502277.41</v>
      </c>
      <c r="I6" s="23">
        <v>529979.94</v>
      </c>
      <c r="J6" s="23">
        <v>532666.37</v>
      </c>
      <c r="K6" s="23">
        <v>234401.96</v>
      </c>
      <c r="L6" s="23">
        <v>541.85</v>
      </c>
      <c r="M6" s="23">
        <v>544.15</v>
      </c>
      <c r="N6" s="23">
        <v>546.45</v>
      </c>
      <c r="O6" s="23">
        <v>100739.1</v>
      </c>
      <c r="P6" s="23">
        <v>25122.92</v>
      </c>
      <c r="Q6" s="23">
        <v>234.39</v>
      </c>
      <c r="R6" s="23">
        <v>0.0</v>
      </c>
      <c r="S6" s="23">
        <v>0.0</v>
      </c>
      <c r="T6" s="23">
        <v>0.0</v>
      </c>
      <c r="U6" s="23">
        <v>0.0</v>
      </c>
      <c r="V6" s="23">
        <v>0.0</v>
      </c>
      <c r="W6" s="23">
        <v>1000000.0</v>
      </c>
      <c r="X6" s="23">
        <v>1402672.88</v>
      </c>
      <c r="Y6" s="23">
        <v>4908896.49</v>
      </c>
      <c r="Z6" s="23">
        <v>4068640.9</v>
      </c>
      <c r="AA6" s="23">
        <v>4076443.78</v>
      </c>
      <c r="AB6" s="23">
        <v>3708929.8</v>
      </c>
      <c r="AC6" s="23">
        <v>3616094.37</v>
      </c>
      <c r="AD6" s="23">
        <v>2823313.48</v>
      </c>
      <c r="AE6" s="24">
        <v>3330320.29</v>
      </c>
      <c r="AF6" s="24">
        <v>2237213.44</v>
      </c>
    </row>
    <row r="7">
      <c r="A7" s="3" t="s">
        <v>107</v>
      </c>
      <c r="B7" s="23">
        <v>0.0</v>
      </c>
      <c r="C7" s="23">
        <v>0.0</v>
      </c>
      <c r="D7" s="23">
        <v>0.0</v>
      </c>
      <c r="E7" s="23">
        <v>0.0</v>
      </c>
      <c r="F7" s="23">
        <v>0.0</v>
      </c>
      <c r="G7" s="23">
        <v>10000.0</v>
      </c>
      <c r="H7" s="23">
        <v>1045.5</v>
      </c>
      <c r="I7" s="23">
        <v>4308.0</v>
      </c>
      <c r="J7" s="23">
        <v>10926.0</v>
      </c>
      <c r="K7" s="23">
        <v>11010.0</v>
      </c>
      <c r="L7" s="23">
        <v>10825.5</v>
      </c>
      <c r="M7" s="23">
        <v>13237.5</v>
      </c>
      <c r="N7" s="23">
        <v>14166.66</v>
      </c>
      <c r="O7" s="23">
        <v>9941.33</v>
      </c>
      <c r="P7" s="23">
        <v>9908.33</v>
      </c>
      <c r="Q7" s="23">
        <v>9925.83</v>
      </c>
      <c r="R7" s="23">
        <v>18651.11</v>
      </c>
      <c r="S7" s="23">
        <v>10041.36</v>
      </c>
      <c r="T7" s="23">
        <v>9230.36</v>
      </c>
      <c r="U7" s="23">
        <v>12759.11</v>
      </c>
      <c r="V7" s="23">
        <v>14063.11</v>
      </c>
      <c r="W7" s="23">
        <v>11737.11</v>
      </c>
      <c r="X7" s="23">
        <v>15265.36</v>
      </c>
      <c r="Y7" s="23">
        <v>234357.61</v>
      </c>
      <c r="Z7" s="23">
        <v>198230.85</v>
      </c>
      <c r="AA7" s="23">
        <v>328474.1</v>
      </c>
      <c r="AB7" s="23">
        <v>332086.74</v>
      </c>
      <c r="AC7" s="23">
        <v>360836.82</v>
      </c>
      <c r="AD7" s="23">
        <v>650551.96</v>
      </c>
      <c r="AE7" s="24">
        <v>1265842.88</v>
      </c>
      <c r="AF7" s="24">
        <v>1014001.01</v>
      </c>
    </row>
    <row r="8">
      <c r="A8" s="3" t="s">
        <v>108</v>
      </c>
      <c r="B8" s="23">
        <v>239614.98</v>
      </c>
      <c r="C8" s="23">
        <v>194663.35</v>
      </c>
      <c r="D8" s="23">
        <v>191110.6</v>
      </c>
      <c r="E8" s="23">
        <v>169075.36</v>
      </c>
      <c r="F8" s="23">
        <v>226574.95</v>
      </c>
      <c r="G8" s="23">
        <v>230138.58</v>
      </c>
      <c r="H8" s="23">
        <v>239248.34</v>
      </c>
      <c r="I8" s="23">
        <v>219511.9</v>
      </c>
      <c r="J8" s="23">
        <v>236090.83</v>
      </c>
      <c r="K8" s="23">
        <v>280972.58</v>
      </c>
      <c r="L8" s="23">
        <v>336899.81</v>
      </c>
      <c r="M8" s="23">
        <v>269630.41</v>
      </c>
      <c r="N8" s="23">
        <v>248351.57</v>
      </c>
      <c r="O8" s="23">
        <v>233975.11</v>
      </c>
      <c r="P8" s="23">
        <v>257259.14</v>
      </c>
      <c r="Q8" s="23">
        <v>187028.07</v>
      </c>
      <c r="R8" s="23">
        <v>330534.16</v>
      </c>
      <c r="S8" s="23">
        <v>321953.39</v>
      </c>
      <c r="T8" s="23">
        <v>315976.32</v>
      </c>
      <c r="U8" s="23">
        <v>359878.64</v>
      </c>
      <c r="V8" s="23">
        <v>322744.26</v>
      </c>
      <c r="W8" s="23">
        <v>298228.79</v>
      </c>
      <c r="X8" s="23">
        <v>288550.53</v>
      </c>
      <c r="Y8" s="23">
        <v>355308.95</v>
      </c>
      <c r="Z8" s="23">
        <v>322790.34</v>
      </c>
      <c r="AA8" s="23">
        <v>292996.15</v>
      </c>
      <c r="AB8" s="23">
        <v>338413.16</v>
      </c>
      <c r="AC8" s="23">
        <v>392174.25</v>
      </c>
      <c r="AD8" s="23">
        <v>318863.88</v>
      </c>
      <c r="AE8" s="24">
        <v>422993.62</v>
      </c>
      <c r="AF8" s="24">
        <v>436998.79</v>
      </c>
    </row>
    <row r="9">
      <c r="A9" s="3" t="s">
        <v>109</v>
      </c>
      <c r="B9" s="23">
        <v>165278.49</v>
      </c>
      <c r="C9" s="23">
        <v>132731.93</v>
      </c>
      <c r="D9" s="23">
        <v>175103.29</v>
      </c>
      <c r="E9" s="23">
        <v>154716.37</v>
      </c>
      <c r="F9" s="23">
        <v>149278.61</v>
      </c>
      <c r="G9" s="23">
        <v>168129.44</v>
      </c>
      <c r="H9" s="23">
        <v>167872.85</v>
      </c>
      <c r="I9" s="23">
        <v>199702.39</v>
      </c>
      <c r="J9" s="23">
        <v>225195.38</v>
      </c>
      <c r="K9" s="23">
        <v>214337.17</v>
      </c>
      <c r="L9" s="23">
        <v>206982.23</v>
      </c>
      <c r="M9" s="23">
        <v>259231.77</v>
      </c>
      <c r="N9" s="23">
        <v>261405.98</v>
      </c>
      <c r="O9" s="23">
        <v>227590.54</v>
      </c>
      <c r="P9" s="23">
        <v>316938.3</v>
      </c>
      <c r="Q9" s="23">
        <v>273343.58</v>
      </c>
      <c r="R9" s="23">
        <v>240555.62</v>
      </c>
      <c r="S9" s="23">
        <v>276127.5</v>
      </c>
      <c r="T9" s="23">
        <v>268483.66</v>
      </c>
      <c r="U9" s="23">
        <v>233955.38</v>
      </c>
      <c r="V9" s="23">
        <v>213634.01</v>
      </c>
      <c r="W9" s="23">
        <v>182793.79</v>
      </c>
      <c r="X9" s="23">
        <v>197843.8</v>
      </c>
      <c r="Y9" s="23">
        <v>327241.17</v>
      </c>
      <c r="Z9" s="23">
        <v>345791.89</v>
      </c>
      <c r="AA9" s="23">
        <v>228644.89</v>
      </c>
      <c r="AB9" s="23">
        <v>336267.98</v>
      </c>
      <c r="AC9" s="23">
        <v>485689.85</v>
      </c>
      <c r="AD9" s="23">
        <v>499974.29</v>
      </c>
      <c r="AE9" s="24">
        <v>501705.97</v>
      </c>
      <c r="AF9" s="24">
        <v>818199.79</v>
      </c>
    </row>
    <row r="10">
      <c r="A10" s="3" t="s">
        <v>110</v>
      </c>
      <c r="B10" s="23">
        <v>25651.03</v>
      </c>
      <c r="C10" s="23">
        <v>25651.03</v>
      </c>
      <c r="D10" s="23">
        <v>25651.03</v>
      </c>
      <c r="E10" s="23">
        <v>25651.03</v>
      </c>
      <c r="F10" s="23">
        <v>25651.03</v>
      </c>
      <c r="G10" s="23">
        <v>25651.03</v>
      </c>
      <c r="H10" s="23">
        <v>25651.03</v>
      </c>
      <c r="I10" s="23">
        <v>25651.03</v>
      </c>
      <c r="J10" s="23">
        <v>25651.03</v>
      </c>
      <c r="K10" s="23">
        <v>25651.03</v>
      </c>
      <c r="L10" s="23">
        <v>156041.05</v>
      </c>
      <c r="M10" s="23">
        <v>43702.27</v>
      </c>
      <c r="N10" s="23">
        <v>43702.27</v>
      </c>
      <c r="O10" s="23">
        <v>43702.27</v>
      </c>
      <c r="P10" s="23">
        <v>25651.03</v>
      </c>
      <c r="Q10" s="23">
        <v>25651.03</v>
      </c>
      <c r="R10" s="23">
        <v>25651.03</v>
      </c>
      <c r="S10" s="23">
        <v>25651.03</v>
      </c>
      <c r="T10" s="23">
        <v>25651.03</v>
      </c>
      <c r="U10" s="23">
        <v>25651.03</v>
      </c>
      <c r="V10" s="23">
        <v>25651.03</v>
      </c>
      <c r="W10" s="23">
        <v>25651.03</v>
      </c>
      <c r="X10" s="23">
        <v>25651.03</v>
      </c>
      <c r="Y10" s="23">
        <v>25651.03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</row>
    <row r="11">
      <c r="A11" s="3" t="s">
        <v>111</v>
      </c>
      <c r="B11" s="23">
        <v>-6602.41</v>
      </c>
      <c r="C11" s="23">
        <v>0.0</v>
      </c>
      <c r="D11" s="23">
        <v>23602.46</v>
      </c>
      <c r="E11" s="23">
        <v>0.0</v>
      </c>
      <c r="F11" s="23">
        <v>103794.36</v>
      </c>
      <c r="G11" s="23">
        <v>91294.97</v>
      </c>
      <c r="H11" s="23">
        <v>172410.44</v>
      </c>
      <c r="I11" s="23">
        <v>157260.6</v>
      </c>
      <c r="J11" s="23">
        <v>178552.0</v>
      </c>
      <c r="K11" s="23">
        <v>116970.25</v>
      </c>
      <c r="L11" s="23">
        <v>158845.0</v>
      </c>
      <c r="M11" s="23">
        <v>246540.5</v>
      </c>
      <c r="N11" s="23">
        <v>52047.58</v>
      </c>
      <c r="O11" s="23">
        <v>127046.12</v>
      </c>
      <c r="P11" s="23">
        <v>-181999.36</v>
      </c>
      <c r="Q11" s="23">
        <v>232193.69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/>
      <c r="AB11" s="23"/>
      <c r="AC11" s="23"/>
      <c r="AD11" s="23">
        <v>0.0</v>
      </c>
    </row>
    <row r="12">
      <c r="A12" s="3" t="s">
        <v>112</v>
      </c>
      <c r="B12" s="23">
        <v>0.0</v>
      </c>
      <c r="C12" s="23">
        <v>0.0</v>
      </c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3">
        <v>26535.5</v>
      </c>
      <c r="M12" s="23">
        <v>59288.98</v>
      </c>
      <c r="N12" s="23">
        <v>0.0</v>
      </c>
      <c r="O12" s="23">
        <v>0.0</v>
      </c>
      <c r="P12" s="23">
        <v>0.0</v>
      </c>
      <c r="Q12" s="23">
        <v>0.0</v>
      </c>
      <c r="R12" s="23">
        <v>141890.67</v>
      </c>
      <c r="S12" s="23">
        <v>338732.47</v>
      </c>
      <c r="T12" s="23">
        <v>184649.31</v>
      </c>
      <c r="U12" s="23">
        <v>58438.51</v>
      </c>
      <c r="V12" s="23">
        <v>78850.67</v>
      </c>
      <c r="W12" s="23">
        <v>85401.31</v>
      </c>
      <c r="X12" s="23">
        <v>107397.45</v>
      </c>
      <c r="Y12" s="23">
        <v>0.0</v>
      </c>
      <c r="Z12" s="23">
        <v>0.0</v>
      </c>
      <c r="AA12" s="23">
        <v>0.0</v>
      </c>
      <c r="AB12" s="23">
        <v>0.0</v>
      </c>
      <c r="AC12" s="23">
        <v>0.0</v>
      </c>
      <c r="AD12" s="23">
        <v>0.0</v>
      </c>
    </row>
    <row r="13">
      <c r="A13" s="3" t="s">
        <v>113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>
        <v>3400.0</v>
      </c>
      <c r="P13" s="23">
        <v>7629.26</v>
      </c>
      <c r="Q13" s="23">
        <v>2600.0</v>
      </c>
      <c r="R13" s="23">
        <v>2400.0</v>
      </c>
      <c r="S13" s="23">
        <v>0.0</v>
      </c>
      <c r="T13" s="23">
        <v>0.0</v>
      </c>
      <c r="U13" s="23">
        <v>0.0</v>
      </c>
      <c r="V13" s="23">
        <v>0.0</v>
      </c>
      <c r="W13" s="23">
        <v>0.0</v>
      </c>
      <c r="X13" s="23">
        <v>0.0</v>
      </c>
      <c r="Y13" s="23">
        <v>47625.0</v>
      </c>
      <c r="Z13" s="23">
        <v>42640.88</v>
      </c>
      <c r="AA13" s="23">
        <v>69840.5</v>
      </c>
      <c r="AB13" s="23">
        <v>17481.04</v>
      </c>
      <c r="AC13" s="23">
        <v>48361.73</v>
      </c>
      <c r="AD13" s="23">
        <v>62980.24</v>
      </c>
      <c r="AE13" s="24">
        <v>105826.92</v>
      </c>
      <c r="AF13" s="24">
        <v>130816.47</v>
      </c>
    </row>
    <row r="14">
      <c r="A14" s="3" t="s">
        <v>114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89552.78</v>
      </c>
      <c r="V14" s="25">
        <v>271817.16</v>
      </c>
      <c r="W14" s="25">
        <v>22230.51</v>
      </c>
      <c r="X14" s="25">
        <v>299143.56</v>
      </c>
      <c r="Y14" s="25">
        <v>0.0</v>
      </c>
      <c r="Z14" s="25">
        <v>0.0</v>
      </c>
      <c r="AA14" s="25">
        <v>0.0</v>
      </c>
      <c r="AB14" s="25">
        <v>0.0</v>
      </c>
      <c r="AC14" s="25">
        <v>0.0</v>
      </c>
      <c r="AD14" s="25">
        <v>0.0</v>
      </c>
      <c r="AE14" s="26"/>
      <c r="AF14" s="26"/>
    </row>
    <row r="15">
      <c r="A15" s="3" t="s">
        <v>115</v>
      </c>
      <c r="B15" s="23">
        <v>1178288.12</v>
      </c>
      <c r="C15" s="23">
        <v>1229654.83</v>
      </c>
      <c r="D15" s="23">
        <v>949754.07</v>
      </c>
      <c r="E15" s="23">
        <v>1565209.4200000002</v>
      </c>
      <c r="F15" s="23">
        <v>1378163.0700000003</v>
      </c>
      <c r="G15" s="23">
        <v>1331949.08</v>
      </c>
      <c r="H15" s="23">
        <v>1484921.06</v>
      </c>
      <c r="I15" s="23">
        <v>1584642.7</v>
      </c>
      <c r="J15" s="23">
        <v>1525556.6300000001</v>
      </c>
      <c r="K15" s="23">
        <v>1031907.7300000001</v>
      </c>
      <c r="L15" s="23">
        <v>1022311.3699999999</v>
      </c>
      <c r="M15" s="23">
        <v>1150619.68</v>
      </c>
      <c r="N15" s="23">
        <v>871814.33</v>
      </c>
      <c r="O15" s="23">
        <v>1034298.4600000001</v>
      </c>
      <c r="P15" s="23">
        <v>676235.57</v>
      </c>
      <c r="Q15" s="23">
        <v>949576.8800000001</v>
      </c>
      <c r="R15" s="23">
        <v>1523318.26</v>
      </c>
      <c r="S15" s="23">
        <v>2355785.18</v>
      </c>
      <c r="T15" s="23">
        <v>2124983.13</v>
      </c>
      <c r="U15" s="23">
        <v>1394661.1300000001</v>
      </c>
      <c r="V15" s="23">
        <v>1701757.2099999997</v>
      </c>
      <c r="W15" s="23">
        <v>2138300.28</v>
      </c>
      <c r="X15" s="23">
        <v>2669152.31</v>
      </c>
      <c r="Y15" s="23">
        <v>6280664.850000001</v>
      </c>
      <c r="Z15" s="23">
        <v>5277267.349999999</v>
      </c>
      <c r="AA15" s="23">
        <v>5569000.43</v>
      </c>
      <c r="AB15" s="23">
        <v>4914949.63</v>
      </c>
      <c r="AC15" s="23">
        <v>5012931.970000001</v>
      </c>
      <c r="AD15" s="23">
        <v>4672230.53</v>
      </c>
      <c r="AE15" s="23">
        <v>5876842.93</v>
      </c>
      <c r="AF15" s="23">
        <v>5874700.33</v>
      </c>
    </row>
    <row r="16">
      <c r="A16" s="3" t="s">
        <v>15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>
      <c r="A17" s="3" t="s">
        <v>116</v>
      </c>
      <c r="B17" s="23">
        <v>75086.87</v>
      </c>
      <c r="C17" s="23">
        <v>113682.28</v>
      </c>
      <c r="D17" s="23">
        <v>141445.02</v>
      </c>
      <c r="E17" s="23">
        <v>145402.98</v>
      </c>
      <c r="F17" s="23">
        <v>154847.46</v>
      </c>
      <c r="G17" s="23">
        <v>157766.92</v>
      </c>
      <c r="H17" s="23">
        <v>239295.8</v>
      </c>
      <c r="I17" s="23">
        <v>249971.4</v>
      </c>
      <c r="J17" s="23">
        <v>256690.34</v>
      </c>
      <c r="K17" s="23">
        <v>254631.46</v>
      </c>
      <c r="L17" s="23">
        <v>248898.05</v>
      </c>
      <c r="M17" s="23">
        <v>243164.64</v>
      </c>
      <c r="N17" s="23">
        <v>237431.35</v>
      </c>
      <c r="O17" s="23">
        <v>231735.51</v>
      </c>
      <c r="P17" s="23">
        <v>161079.49</v>
      </c>
      <c r="Q17" s="23">
        <v>155487.92</v>
      </c>
      <c r="R17" s="23">
        <v>155036.37</v>
      </c>
      <c r="S17" s="23">
        <v>154141.56</v>
      </c>
      <c r="T17" s="23">
        <v>151377.27</v>
      </c>
      <c r="U17" s="23">
        <v>145642.7</v>
      </c>
      <c r="V17" s="23">
        <v>139908.13</v>
      </c>
      <c r="W17" s="23">
        <v>137996.7</v>
      </c>
      <c r="X17" s="23">
        <v>150907.46</v>
      </c>
      <c r="Y17" s="23">
        <v>136783.48</v>
      </c>
      <c r="Z17" s="23">
        <v>129571.85</v>
      </c>
      <c r="AA17" s="23">
        <v>122444.2</v>
      </c>
      <c r="AB17" s="23">
        <v>115316.55</v>
      </c>
      <c r="AC17" s="23">
        <v>108188.72</v>
      </c>
      <c r="AD17" s="23">
        <v>101166.55</v>
      </c>
      <c r="AE17" s="24">
        <v>94153.03</v>
      </c>
      <c r="AF17" s="24">
        <v>96538.68</v>
      </c>
    </row>
    <row r="18">
      <c r="A18" s="3" t="s">
        <v>117</v>
      </c>
      <c r="B18" s="23">
        <v>152729.64</v>
      </c>
      <c r="C18" s="23">
        <v>187044.87</v>
      </c>
      <c r="D18" s="23">
        <v>239011.92</v>
      </c>
      <c r="E18" s="23">
        <v>268493.33</v>
      </c>
      <c r="F18" s="23">
        <v>313153.35</v>
      </c>
      <c r="G18" s="23">
        <v>423685.23</v>
      </c>
      <c r="H18" s="23">
        <v>530143.37</v>
      </c>
      <c r="I18" s="23">
        <v>745582.41</v>
      </c>
      <c r="J18" s="23">
        <v>948563.46</v>
      </c>
      <c r="K18" s="23">
        <v>1092692.38</v>
      </c>
      <c r="L18" s="23">
        <v>1183824.4</v>
      </c>
      <c r="M18" s="23">
        <v>1247057.56</v>
      </c>
      <c r="N18" s="23">
        <v>1334936.63</v>
      </c>
      <c r="O18" s="23">
        <v>1440834.38</v>
      </c>
      <c r="P18" s="23">
        <v>1510180.77</v>
      </c>
      <c r="Q18" s="23">
        <v>1587312.25</v>
      </c>
      <c r="R18" s="23">
        <v>1763076.52</v>
      </c>
      <c r="S18" s="23">
        <v>1758634.21</v>
      </c>
      <c r="T18" s="23">
        <v>1705244.79</v>
      </c>
      <c r="U18" s="23">
        <v>1542491.02</v>
      </c>
      <c r="V18" s="23">
        <v>1489248.64</v>
      </c>
      <c r="W18" s="23">
        <v>1391680.65</v>
      </c>
      <c r="X18" s="23">
        <v>1337920.98</v>
      </c>
      <c r="Y18" s="23">
        <v>1240374.52</v>
      </c>
      <c r="Z18" s="23">
        <v>1184265.09</v>
      </c>
      <c r="AA18" s="23">
        <v>1128265.72</v>
      </c>
      <c r="AB18" s="23">
        <v>1077320.63</v>
      </c>
      <c r="AC18" s="23">
        <v>1021408.89</v>
      </c>
      <c r="AD18" s="23">
        <v>965565.69</v>
      </c>
      <c r="AE18" s="23">
        <v>909861.58</v>
      </c>
      <c r="AF18" s="23">
        <v>854393.38</v>
      </c>
    </row>
    <row r="19">
      <c r="A19" s="3" t="s">
        <v>118</v>
      </c>
      <c r="B19" s="23">
        <v>0.0</v>
      </c>
      <c r="C19" s="23">
        <v>0.0</v>
      </c>
      <c r="D19" s="23">
        <v>0.0</v>
      </c>
      <c r="E19" s="23">
        <v>0.0</v>
      </c>
      <c r="F19" s="23">
        <v>53000.0</v>
      </c>
      <c r="G19" s="23">
        <v>75329.58</v>
      </c>
      <c r="H19" s="23">
        <v>108943.09</v>
      </c>
      <c r="I19" s="23">
        <v>112743.88</v>
      </c>
      <c r="J19" s="23">
        <v>114472.11</v>
      </c>
      <c r="K19" s="23">
        <v>40070.21</v>
      </c>
      <c r="L19" s="23">
        <v>27744.83</v>
      </c>
      <c r="M19" s="23">
        <v>14253.51</v>
      </c>
      <c r="N19" s="23">
        <v>24080.33</v>
      </c>
      <c r="O19" s="23">
        <v>42759.83</v>
      </c>
      <c r="P19" s="23">
        <v>51184.46</v>
      </c>
      <c r="Q19" s="23">
        <v>52580.48</v>
      </c>
      <c r="R19" s="23">
        <v>98756.45</v>
      </c>
      <c r="S19" s="23">
        <v>89993.82</v>
      </c>
      <c r="T19" s="23">
        <v>88508.17</v>
      </c>
      <c r="U19" s="23">
        <v>46084.14</v>
      </c>
      <c r="V19" s="23">
        <v>44354.67</v>
      </c>
      <c r="W19" s="23">
        <v>44561.13</v>
      </c>
      <c r="X19" s="23">
        <v>44132.72</v>
      </c>
      <c r="Y19" s="23">
        <v>38283.96</v>
      </c>
      <c r="Z19" s="23">
        <v>22905.43</v>
      </c>
      <c r="AA19" s="23">
        <v>22905.43</v>
      </c>
      <c r="AB19" s="23">
        <v>18745.43</v>
      </c>
      <c r="AC19" s="23">
        <v>24207.78</v>
      </c>
      <c r="AD19" s="23">
        <v>169305.43</v>
      </c>
      <c r="AE19" s="24">
        <v>18745.43</v>
      </c>
      <c r="AF19" s="24">
        <v>197912.38</v>
      </c>
    </row>
    <row r="20">
      <c r="A20" s="3" t="s">
        <v>119</v>
      </c>
      <c r="B20" s="23">
        <v>195.0</v>
      </c>
      <c r="C20" s="23">
        <v>0.0</v>
      </c>
      <c r="D20" s="23">
        <v>0.0</v>
      </c>
      <c r="E20" s="23">
        <v>250.0</v>
      </c>
      <c r="F20" s="23">
        <v>0.0</v>
      </c>
      <c r="G20" s="23">
        <v>250.0</v>
      </c>
      <c r="H20" s="23">
        <v>500.0</v>
      </c>
      <c r="I20" s="23">
        <v>250.0</v>
      </c>
      <c r="J20" s="23">
        <v>0.0</v>
      </c>
      <c r="K20" s="23">
        <v>-125.0</v>
      </c>
      <c r="L20" s="23">
        <v>-250.0</v>
      </c>
      <c r="M20" s="23">
        <v>-125.0</v>
      </c>
      <c r="N20" s="23">
        <v>3675.0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23"/>
      <c r="AB20" s="23"/>
      <c r="AC20" s="23"/>
      <c r="AD20" s="23"/>
    </row>
    <row r="21">
      <c r="A21" s="10" t="s">
        <v>120</v>
      </c>
      <c r="B21" s="28">
        <v>1406299.6300000004</v>
      </c>
      <c r="C21" s="28">
        <v>1530381.98</v>
      </c>
      <c r="D21" s="28">
        <v>1330211.0099999998</v>
      </c>
      <c r="E21" s="28">
        <v>1979355.7300000002</v>
      </c>
      <c r="F21" s="28">
        <v>1899163.8800000004</v>
      </c>
      <c r="G21" s="28">
        <v>1988980.81</v>
      </c>
      <c r="H21" s="28">
        <v>2363803.32</v>
      </c>
      <c r="I21" s="28">
        <v>2693190.3899999997</v>
      </c>
      <c r="J21" s="28">
        <v>2845282.54</v>
      </c>
      <c r="K21" s="28">
        <v>2419176.7800000003</v>
      </c>
      <c r="L21" s="28">
        <v>2482528.65</v>
      </c>
      <c r="M21" s="28">
        <v>2654970.3899999997</v>
      </c>
      <c r="N21" s="28">
        <v>2471937.64</v>
      </c>
      <c r="O21" s="28">
        <v>2749628.18</v>
      </c>
      <c r="P21" s="28">
        <v>2398680.29</v>
      </c>
      <c r="Q21" s="28">
        <v>2744957.53</v>
      </c>
      <c r="R21" s="28">
        <v>3540187.6</v>
      </c>
      <c r="S21" s="28">
        <v>4358554.7700000005</v>
      </c>
      <c r="T21" s="28">
        <v>4070113.36</v>
      </c>
      <c r="U21" s="28">
        <v>3128878.99</v>
      </c>
      <c r="V21" s="28">
        <v>3375268.6499999994</v>
      </c>
      <c r="W21" s="28">
        <v>3712538.76</v>
      </c>
      <c r="X21" s="28">
        <v>4202113.47</v>
      </c>
      <c r="Y21" s="28">
        <v>7696106.810000001</v>
      </c>
      <c r="Z21" s="28">
        <v>6614009.719999998</v>
      </c>
      <c r="AA21" s="28">
        <v>6842615.779999999</v>
      </c>
      <c r="AB21" s="28">
        <v>6126332.239999999</v>
      </c>
      <c r="AC21" s="28">
        <v>6166737.36</v>
      </c>
      <c r="AD21" s="28">
        <v>5908268.199999999</v>
      </c>
      <c r="AE21" s="28">
        <v>6899602.97</v>
      </c>
      <c r="AF21" s="28">
        <v>7023544.77</v>
      </c>
    </row>
    <row r="22">
      <c r="A22" s="3" t="s">
        <v>15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>
      <c r="A23" s="3" t="s">
        <v>15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>
      <c r="A24" s="17" t="s">
        <v>121</v>
      </c>
      <c r="B24" s="22" t="s">
        <v>46</v>
      </c>
      <c r="C24" s="22" t="s">
        <v>46</v>
      </c>
      <c r="D24" s="22" t="s">
        <v>46</v>
      </c>
      <c r="E24" s="22" t="s">
        <v>46</v>
      </c>
      <c r="F24" s="22" t="s">
        <v>46</v>
      </c>
      <c r="G24" s="22" t="s">
        <v>46</v>
      </c>
      <c r="H24" s="22" t="s">
        <v>46</v>
      </c>
      <c r="I24" s="22" t="s">
        <v>46</v>
      </c>
      <c r="J24" s="22" t="s">
        <v>46</v>
      </c>
      <c r="K24" s="22" t="s">
        <v>46</v>
      </c>
      <c r="L24" s="22" t="s">
        <v>46</v>
      </c>
      <c r="M24" s="22" t="s">
        <v>46</v>
      </c>
      <c r="N24" s="22" t="s">
        <v>46</v>
      </c>
      <c r="O24" s="22" t="s">
        <v>46</v>
      </c>
      <c r="P24" s="22" t="s">
        <v>46</v>
      </c>
      <c r="Q24" s="22" t="s">
        <v>46</v>
      </c>
      <c r="R24" s="22" t="s">
        <v>46</v>
      </c>
      <c r="S24" s="22" t="s">
        <v>46</v>
      </c>
      <c r="T24" s="22" t="s">
        <v>46</v>
      </c>
      <c r="U24" s="22" t="s">
        <v>46</v>
      </c>
      <c r="V24" s="22" t="s">
        <v>46</v>
      </c>
      <c r="W24" s="22"/>
      <c r="X24" s="22"/>
      <c r="Y24" s="22"/>
      <c r="Z24" s="22"/>
      <c r="AA24" s="22"/>
      <c r="AB24" s="22"/>
      <c r="AC24" s="22"/>
      <c r="AD24" s="22"/>
    </row>
    <row r="25">
      <c r="A25" s="3" t="s">
        <v>15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3" t="s">
        <v>122</v>
      </c>
      <c r="B26" s="23" t="s">
        <v>123</v>
      </c>
      <c r="C26" s="23" t="s">
        <v>123</v>
      </c>
      <c r="D26" s="23" t="s">
        <v>123</v>
      </c>
      <c r="E26" s="23" t="s">
        <v>123</v>
      </c>
      <c r="F26" s="23" t="s">
        <v>123</v>
      </c>
      <c r="G26" s="23" t="s">
        <v>123</v>
      </c>
      <c r="H26" s="23" t="s">
        <v>123</v>
      </c>
      <c r="I26" s="23" t="s">
        <v>123</v>
      </c>
      <c r="J26" s="23" t="s">
        <v>123</v>
      </c>
      <c r="K26" s="23" t="s">
        <v>123</v>
      </c>
      <c r="L26" s="23" t="s">
        <v>123</v>
      </c>
      <c r="M26" s="23" t="s">
        <v>123</v>
      </c>
      <c r="N26" s="23" t="s">
        <v>123</v>
      </c>
      <c r="O26" s="23" t="s">
        <v>123</v>
      </c>
      <c r="P26" s="23" t="s">
        <v>123</v>
      </c>
      <c r="Q26" s="23" t="s">
        <v>123</v>
      </c>
      <c r="R26" s="23" t="s">
        <v>123</v>
      </c>
      <c r="S26" s="23" t="s">
        <v>123</v>
      </c>
      <c r="T26" s="23" t="s">
        <v>123</v>
      </c>
      <c r="U26" s="23" t="s">
        <v>123</v>
      </c>
      <c r="V26" s="23" t="s">
        <v>123</v>
      </c>
      <c r="W26" s="23"/>
      <c r="X26" s="23"/>
      <c r="Y26" s="23"/>
      <c r="Z26" s="23"/>
      <c r="AA26" s="23"/>
      <c r="AB26" s="23"/>
      <c r="AC26" s="23"/>
      <c r="AD26" s="23"/>
    </row>
    <row r="27">
      <c r="A27" s="3" t="s">
        <v>124</v>
      </c>
      <c r="B27" s="23">
        <v>397319.47</v>
      </c>
      <c r="C27" s="23">
        <v>703690.5</v>
      </c>
      <c r="D27" s="23">
        <v>182309.41</v>
      </c>
      <c r="E27" s="23">
        <v>567192.65</v>
      </c>
      <c r="F27" s="23">
        <v>237332.37</v>
      </c>
      <c r="G27" s="23">
        <v>770181.2</v>
      </c>
      <c r="H27" s="23">
        <v>654224.57</v>
      </c>
      <c r="I27" s="23">
        <v>668405.97</v>
      </c>
      <c r="J27" s="23">
        <v>909877.11</v>
      </c>
      <c r="K27" s="23">
        <v>690307.09</v>
      </c>
      <c r="L27" s="23">
        <v>708957.39</v>
      </c>
      <c r="M27" s="23">
        <v>235412.75</v>
      </c>
      <c r="N27" s="23">
        <v>149304.26</v>
      </c>
      <c r="O27" s="23">
        <v>227352.13</v>
      </c>
      <c r="P27" s="23">
        <v>25515.75</v>
      </c>
      <c r="Q27" s="23">
        <v>389397.49</v>
      </c>
      <c r="R27" s="23">
        <v>-222522.54</v>
      </c>
      <c r="S27" s="23">
        <v>420105.69</v>
      </c>
      <c r="T27" s="23">
        <v>11384.14</v>
      </c>
      <c r="U27" s="23">
        <v>311827.77</v>
      </c>
      <c r="V27" s="23">
        <v>296942.15</v>
      </c>
      <c r="W27" s="23">
        <v>915283.26</v>
      </c>
      <c r="X27" s="23">
        <v>1034018.9</v>
      </c>
      <c r="Y27" s="23">
        <v>1308353.81</v>
      </c>
      <c r="Z27" s="23">
        <v>1158759.73</v>
      </c>
      <c r="AA27" s="23">
        <v>1540490.47</v>
      </c>
      <c r="AB27" s="23">
        <v>964258.18</v>
      </c>
      <c r="AC27" s="23">
        <v>954389.05</v>
      </c>
      <c r="AD27" s="23">
        <v>1329746.34</v>
      </c>
      <c r="AE27" s="24">
        <v>2364425.84</v>
      </c>
      <c r="AF27" s="24">
        <v>4880171.45</v>
      </c>
    </row>
    <row r="28">
      <c r="A28" s="3" t="s">
        <v>15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>
      <c r="A29" s="3" t="s">
        <v>125</v>
      </c>
      <c r="B29" s="23" t="s">
        <v>126</v>
      </c>
      <c r="C29" s="23" t="s">
        <v>126</v>
      </c>
      <c r="D29" s="23" t="s">
        <v>126</v>
      </c>
      <c r="E29" s="23" t="s">
        <v>126</v>
      </c>
      <c r="F29" s="23" t="s">
        <v>126</v>
      </c>
      <c r="G29" s="23" t="s">
        <v>126</v>
      </c>
      <c r="H29" s="23" t="s">
        <v>126</v>
      </c>
      <c r="I29" s="23" t="s">
        <v>126</v>
      </c>
      <c r="J29" s="23" t="s">
        <v>126</v>
      </c>
      <c r="K29" s="23" t="s">
        <v>126</v>
      </c>
      <c r="L29" s="23" t="s">
        <v>126</v>
      </c>
      <c r="M29" s="23" t="s">
        <v>126</v>
      </c>
      <c r="N29" s="23" t="s">
        <v>126</v>
      </c>
      <c r="O29" s="23" t="s">
        <v>126</v>
      </c>
      <c r="P29" s="23" t="s">
        <v>126</v>
      </c>
      <c r="Q29" s="23" t="s">
        <v>126</v>
      </c>
      <c r="R29" s="23" t="s">
        <v>126</v>
      </c>
      <c r="S29" s="23" t="s">
        <v>126</v>
      </c>
      <c r="T29" s="23" t="s">
        <v>126</v>
      </c>
      <c r="U29" s="23" t="s">
        <v>126</v>
      </c>
      <c r="V29" s="23" t="s">
        <v>126</v>
      </c>
      <c r="W29" s="23"/>
      <c r="X29" s="23"/>
      <c r="Y29" s="23"/>
      <c r="Z29" s="23"/>
      <c r="AA29" s="23"/>
      <c r="AB29" s="23"/>
      <c r="AC29" s="23"/>
      <c r="AD29" s="23"/>
    </row>
    <row r="30">
      <c r="A30" s="3" t="s">
        <v>127</v>
      </c>
      <c r="B30" s="23">
        <v>804467.11</v>
      </c>
      <c r="C30" s="23">
        <v>667486.6</v>
      </c>
      <c r="D30" s="23">
        <v>1000394.96</v>
      </c>
      <c r="E30" s="23">
        <v>829259.28</v>
      </c>
      <c r="F30" s="23">
        <v>1099562.9</v>
      </c>
      <c r="G30" s="23">
        <v>408197.01</v>
      </c>
      <c r="H30" s="23">
        <v>488771.78</v>
      </c>
      <c r="I30" s="23">
        <v>518352.96</v>
      </c>
      <c r="J30" s="23">
        <v>455047.37</v>
      </c>
      <c r="K30" s="23">
        <v>627505.22</v>
      </c>
      <c r="L30" s="23">
        <v>549124.33</v>
      </c>
      <c r="M30" s="23">
        <v>545262.18</v>
      </c>
      <c r="N30" s="23">
        <v>652057.87</v>
      </c>
      <c r="O30" s="23">
        <v>484315.59</v>
      </c>
      <c r="P30" s="23">
        <v>724957.94</v>
      </c>
      <c r="Q30" s="23">
        <v>691255.19</v>
      </c>
      <c r="R30" s="23">
        <v>1265064.03</v>
      </c>
      <c r="S30" s="23">
        <v>1049451.68</v>
      </c>
      <c r="T30" s="23">
        <v>1306405.25</v>
      </c>
      <c r="U30" s="23">
        <v>572078.78</v>
      </c>
      <c r="V30" s="23">
        <v>484838.75</v>
      </c>
      <c r="W30" s="23">
        <v>497686.29</v>
      </c>
      <c r="X30" s="23">
        <v>739336.36</v>
      </c>
      <c r="Y30" s="23">
        <v>608792.27</v>
      </c>
      <c r="Z30" s="23">
        <v>106492.88</v>
      </c>
      <c r="AA30" s="23">
        <v>90365.86</v>
      </c>
      <c r="AB30" s="23">
        <v>71200.19</v>
      </c>
      <c r="AC30" s="23">
        <v>136282.74</v>
      </c>
      <c r="AD30" s="23">
        <v>115257.32</v>
      </c>
      <c r="AE30" s="24">
        <v>157825.05</v>
      </c>
      <c r="AF30" s="24">
        <v>212366.2</v>
      </c>
    </row>
    <row r="31">
      <c r="A31" s="3" t="s">
        <v>128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>
        <v>0.0</v>
      </c>
      <c r="R31" s="23">
        <v>0.0</v>
      </c>
      <c r="S31" s="23">
        <v>0.0</v>
      </c>
      <c r="T31" s="23">
        <v>0.0</v>
      </c>
      <c r="U31" s="23">
        <v>0.0</v>
      </c>
      <c r="V31" s="23">
        <v>0.0</v>
      </c>
      <c r="W31" s="23">
        <v>0.0</v>
      </c>
      <c r="X31" s="23">
        <v>7546.5</v>
      </c>
      <c r="Y31" s="23">
        <v>0.0</v>
      </c>
      <c r="Z31" s="23">
        <v>0.0</v>
      </c>
      <c r="AA31" s="23">
        <v>0.0</v>
      </c>
      <c r="AB31" s="23">
        <v>0.0</v>
      </c>
      <c r="AC31" s="23">
        <v>0.0</v>
      </c>
      <c r="AD31" s="23"/>
    </row>
    <row r="32">
      <c r="A32" s="3" t="s">
        <v>129</v>
      </c>
      <c r="B32" s="23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-626.23</v>
      </c>
      <c r="H32" s="23">
        <v>14170.12</v>
      </c>
      <c r="I32" s="23">
        <v>15835.25</v>
      </c>
      <c r="J32" s="23">
        <v>-1333.59</v>
      </c>
      <c r="K32" s="23">
        <v>39.94</v>
      </c>
      <c r="L32" s="23">
        <v>21817.66</v>
      </c>
      <c r="M32" s="23">
        <v>20998.13</v>
      </c>
      <c r="N32" s="23">
        <v>-1037.19</v>
      </c>
      <c r="O32" s="23">
        <v>-3332.35</v>
      </c>
      <c r="P32" s="23">
        <v>-3915.94</v>
      </c>
      <c r="Q32" s="23">
        <v>-3759.91</v>
      </c>
      <c r="R32" s="23">
        <v>-3966.38</v>
      </c>
      <c r="S32" s="23">
        <v>-1769.42</v>
      </c>
      <c r="T32" s="23">
        <v>-345.35</v>
      </c>
      <c r="U32" s="23">
        <v>-2398.44</v>
      </c>
      <c r="V32" s="23">
        <v>-2880.37</v>
      </c>
      <c r="W32" s="23">
        <v>-2703.37</v>
      </c>
      <c r="X32" s="23">
        <v>-2009.29</v>
      </c>
      <c r="Y32" s="23">
        <v>-1996.25</v>
      </c>
      <c r="Z32" s="23">
        <v>-2449.44</v>
      </c>
      <c r="AA32" s="23">
        <v>-2824.41</v>
      </c>
      <c r="AB32" s="23">
        <v>-3898.06</v>
      </c>
      <c r="AC32" s="23">
        <v>-4214.16</v>
      </c>
      <c r="AD32" s="23">
        <v>-768.0</v>
      </c>
    </row>
    <row r="33">
      <c r="A33" s="3" t="s">
        <v>130</v>
      </c>
      <c r="B33" s="23">
        <v>0.0</v>
      </c>
      <c r="C33" s="23">
        <v>0.0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-44.85</v>
      </c>
      <c r="J33" s="23">
        <v>20.15</v>
      </c>
      <c r="K33" s="23">
        <v>-98.08</v>
      </c>
      <c r="L33" s="23">
        <v>13.88</v>
      </c>
      <c r="M33" s="23">
        <v>52.21</v>
      </c>
      <c r="N33" s="23">
        <v>271.95</v>
      </c>
      <c r="O33" s="23">
        <v>510.4</v>
      </c>
      <c r="P33" s="23">
        <v>-169.0</v>
      </c>
      <c r="Q33" s="23">
        <v>-99.0</v>
      </c>
      <c r="R33" s="23">
        <v>-267.3</v>
      </c>
      <c r="S33" s="23">
        <v>-763.3</v>
      </c>
      <c r="T33" s="23">
        <v>-396.0</v>
      </c>
      <c r="U33" s="23">
        <v>1853.08</v>
      </c>
      <c r="V33" s="23">
        <v>-6213.43</v>
      </c>
      <c r="W33" s="23">
        <v>-3806.63</v>
      </c>
      <c r="X33" s="23">
        <v>-5809.51</v>
      </c>
      <c r="Y33" s="23">
        <v>-2105.24</v>
      </c>
      <c r="Z33" s="23">
        <v>-770.53</v>
      </c>
      <c r="AA33" s="23">
        <v>-646.19</v>
      </c>
      <c r="AB33" s="23">
        <v>69.41</v>
      </c>
      <c r="AC33" s="23">
        <v>69.41</v>
      </c>
      <c r="AD33" s="23">
        <v>69.41</v>
      </c>
    </row>
    <row r="34">
      <c r="A34" s="3" t="s">
        <v>131</v>
      </c>
      <c r="B34" s="23">
        <v>1084.67</v>
      </c>
      <c r="C34" s="23">
        <v>867.44</v>
      </c>
      <c r="D34" s="23">
        <v>6041.69</v>
      </c>
      <c r="E34" s="23">
        <v>6231.69</v>
      </c>
      <c r="F34" s="23">
        <v>4889.61</v>
      </c>
      <c r="G34" s="23">
        <v>8344.77</v>
      </c>
      <c r="H34" s="23">
        <v>3137.5</v>
      </c>
      <c r="I34" s="23">
        <v>2736.31</v>
      </c>
      <c r="J34" s="23">
        <v>5153.14</v>
      </c>
      <c r="K34" s="23">
        <v>7900.84</v>
      </c>
      <c r="L34" s="23">
        <v>31520.2</v>
      </c>
      <c r="M34" s="23">
        <v>27696.49</v>
      </c>
      <c r="N34" s="23">
        <v>33867.1</v>
      </c>
      <c r="O34" s="23">
        <v>24322.19</v>
      </c>
      <c r="P34" s="23">
        <v>3119.07</v>
      </c>
      <c r="Q34" s="23">
        <v>34213.35</v>
      </c>
      <c r="R34" s="23">
        <v>34409.58</v>
      </c>
      <c r="S34" s="23">
        <v>28339.81</v>
      </c>
      <c r="T34" s="23">
        <v>5078.6</v>
      </c>
      <c r="U34" s="23">
        <v>1136.82</v>
      </c>
      <c r="V34" s="23">
        <v>16252.1</v>
      </c>
      <c r="W34" s="23">
        <v>1456.51</v>
      </c>
      <c r="X34" s="23">
        <v>5255.91</v>
      </c>
      <c r="Y34" s="23">
        <v>6072.76</v>
      </c>
      <c r="Z34" s="23">
        <v>2398.61</v>
      </c>
      <c r="AA34" s="23">
        <v>24390.99</v>
      </c>
      <c r="AB34" s="23">
        <v>15310.24</v>
      </c>
      <c r="AC34" s="23">
        <v>9703.08</v>
      </c>
      <c r="AD34" s="23">
        <v>8292.47</v>
      </c>
      <c r="AE34" s="23">
        <v>1184.53</v>
      </c>
      <c r="AF34" s="23">
        <v>1402.49</v>
      </c>
    </row>
    <row r="35">
      <c r="A35" s="3" t="s">
        <v>132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>
        <v>0.0</v>
      </c>
      <c r="M35" s="23">
        <v>0.0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3">
        <v>0.0</v>
      </c>
      <c r="AA35" s="23"/>
      <c r="AB35" s="23"/>
      <c r="AC35" s="23"/>
      <c r="AD35" s="23"/>
    </row>
    <row r="36">
      <c r="A36" s="3" t="s">
        <v>133</v>
      </c>
      <c r="B36" s="25">
        <v>256051.1</v>
      </c>
      <c r="C36" s="25">
        <v>262571.65</v>
      </c>
      <c r="D36" s="25">
        <v>269790.83</v>
      </c>
      <c r="E36" s="25">
        <v>240863.57</v>
      </c>
      <c r="F36" s="25">
        <v>267192.34</v>
      </c>
      <c r="G36" s="25">
        <v>292671.79</v>
      </c>
      <c r="H36" s="25">
        <v>319000.56</v>
      </c>
      <c r="I36" s="25">
        <v>345329.33</v>
      </c>
      <c r="J36" s="25">
        <v>370808.78</v>
      </c>
      <c r="K36" s="25">
        <v>396699.19</v>
      </c>
      <c r="L36" s="25">
        <v>423548.5</v>
      </c>
      <c r="M36" s="25">
        <v>450726.58</v>
      </c>
      <c r="N36" s="25">
        <v>477288.22</v>
      </c>
      <c r="O36" s="25">
        <v>503795.07</v>
      </c>
      <c r="P36" s="25">
        <v>531397.81</v>
      </c>
      <c r="Q36" s="25">
        <v>558110.14</v>
      </c>
      <c r="R36" s="25">
        <v>69726.02</v>
      </c>
      <c r="S36" s="25">
        <v>73835.61</v>
      </c>
      <c r="T36" s="25">
        <v>78082.19</v>
      </c>
      <c r="U36" s="25">
        <v>82328.77</v>
      </c>
      <c r="V36" s="25">
        <v>86438.36</v>
      </c>
      <c r="W36" s="25">
        <v>90684.94</v>
      </c>
      <c r="X36" s="25">
        <v>94794.53</v>
      </c>
      <c r="Y36" s="25">
        <v>99041.11</v>
      </c>
      <c r="Z36" s="25">
        <v>103287.69</v>
      </c>
      <c r="AA36" s="25">
        <v>107534.27</v>
      </c>
      <c r="AB36" s="25">
        <v>111780.85</v>
      </c>
      <c r="AC36" s="25">
        <v>116027.43</v>
      </c>
      <c r="AD36" s="25">
        <v>120274.01</v>
      </c>
      <c r="AE36" s="29">
        <v>124520.59</v>
      </c>
      <c r="AF36" s="29">
        <v>128219.2</v>
      </c>
    </row>
    <row r="37">
      <c r="A37" s="3" t="s">
        <v>134</v>
      </c>
      <c r="B37" s="23">
        <v>1061602.8800000001</v>
      </c>
      <c r="C37" s="23">
        <v>930925.69</v>
      </c>
      <c r="D37" s="23">
        <v>1276227.48</v>
      </c>
      <c r="E37" s="23">
        <v>1076354.54</v>
      </c>
      <c r="F37" s="23">
        <v>1371644.85</v>
      </c>
      <c r="G37" s="23">
        <v>708587.3400000001</v>
      </c>
      <c r="H37" s="23">
        <v>825079.96</v>
      </c>
      <c r="I37" s="23">
        <v>882209.0</v>
      </c>
      <c r="J37" s="23">
        <v>829695.8500000001</v>
      </c>
      <c r="K37" s="23">
        <v>1032047.1099999999</v>
      </c>
      <c r="L37" s="23">
        <v>1026024.57</v>
      </c>
      <c r="M37" s="23">
        <v>1044735.5900000001</v>
      </c>
      <c r="N37" s="23">
        <v>1162447.95</v>
      </c>
      <c r="O37" s="23">
        <v>1009610.9000000001</v>
      </c>
      <c r="P37" s="23">
        <v>1255389.88</v>
      </c>
      <c r="Q37" s="23">
        <v>1279719.77</v>
      </c>
      <c r="R37" s="23">
        <v>1364965.9500000002</v>
      </c>
      <c r="S37" s="23">
        <v>1149094.38</v>
      </c>
      <c r="T37" s="23">
        <v>1388824.69</v>
      </c>
      <c r="U37" s="23">
        <v>654999.01</v>
      </c>
      <c r="V37" s="23">
        <v>578435.41</v>
      </c>
      <c r="W37" s="23">
        <v>583317.74</v>
      </c>
      <c r="X37" s="23">
        <v>839114.5</v>
      </c>
      <c r="Y37" s="23">
        <v>709804.65</v>
      </c>
      <c r="Z37" s="23">
        <v>207624.29</v>
      </c>
      <c r="AA37" s="23">
        <v>217485.59999999998</v>
      </c>
      <c r="AB37" s="23">
        <v>193127.71000000002</v>
      </c>
      <c r="AC37" s="23">
        <v>256533.58</v>
      </c>
      <c r="AD37" s="23">
        <v>243043.71000000002</v>
      </c>
      <c r="AE37" s="24">
        <v>283530.17</v>
      </c>
      <c r="AF37" s="24">
        <v>341987.89</v>
      </c>
    </row>
    <row r="38">
      <c r="A38" s="3" t="s">
        <v>15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>
      <c r="A39" s="3" t="s">
        <v>135</v>
      </c>
      <c r="B39" s="23" t="s">
        <v>126</v>
      </c>
      <c r="C39" s="23" t="s">
        <v>126</v>
      </c>
      <c r="D39" s="23" t="s">
        <v>126</v>
      </c>
      <c r="E39" s="23" t="s">
        <v>126</v>
      </c>
      <c r="F39" s="23" t="s">
        <v>126</v>
      </c>
      <c r="G39" s="23" t="s">
        <v>126</v>
      </c>
      <c r="H39" s="23" t="s">
        <v>126</v>
      </c>
      <c r="I39" s="23" t="s">
        <v>126</v>
      </c>
      <c r="J39" s="23" t="s">
        <v>126</v>
      </c>
      <c r="K39" s="23" t="s">
        <v>126</v>
      </c>
      <c r="L39" s="23" t="s">
        <v>126</v>
      </c>
      <c r="M39" s="23" t="s">
        <v>126</v>
      </c>
      <c r="N39" s="23" t="s">
        <v>126</v>
      </c>
      <c r="O39" s="23" t="s">
        <v>126</v>
      </c>
      <c r="P39" s="23" t="s">
        <v>126</v>
      </c>
      <c r="Q39" s="23" t="s">
        <v>126</v>
      </c>
      <c r="R39" s="23" t="s">
        <v>126</v>
      </c>
      <c r="S39" s="23" t="s">
        <v>126</v>
      </c>
      <c r="T39" s="23" t="s">
        <v>126</v>
      </c>
      <c r="U39" s="23" t="s">
        <v>126</v>
      </c>
      <c r="V39" s="23" t="s">
        <v>126</v>
      </c>
      <c r="W39" s="23"/>
      <c r="X39" s="23"/>
      <c r="Y39" s="23"/>
      <c r="Z39" s="23"/>
      <c r="AA39" s="23"/>
      <c r="AB39" s="23"/>
      <c r="AC39" s="23"/>
      <c r="AD39" s="23"/>
    </row>
    <row r="40">
      <c r="A40" s="3" t="s">
        <v>136</v>
      </c>
      <c r="B40" s="25">
        <v>0.0</v>
      </c>
      <c r="C40" s="25">
        <v>0.0</v>
      </c>
      <c r="D40" s="25">
        <v>0.0</v>
      </c>
      <c r="E40" s="25">
        <v>-154872.64</v>
      </c>
      <c r="F40" s="25">
        <v>0.0</v>
      </c>
      <c r="G40" s="25">
        <v>-51.0</v>
      </c>
      <c r="H40" s="25">
        <v>86205.22</v>
      </c>
      <c r="I40" s="25">
        <v>78630.3</v>
      </c>
      <c r="J40" s="25">
        <v>50014.5</v>
      </c>
      <c r="K40" s="25">
        <v>58485.13</v>
      </c>
      <c r="L40" s="25">
        <v>79422.5</v>
      </c>
      <c r="M40" s="25">
        <v>123270.25</v>
      </c>
      <c r="N40" s="25">
        <v>26023.79</v>
      </c>
      <c r="O40" s="25">
        <v>63523.06</v>
      </c>
      <c r="P40" s="25">
        <v>-363998.72</v>
      </c>
      <c r="Q40" s="25">
        <v>0.0</v>
      </c>
      <c r="R40" s="25">
        <v>0.0</v>
      </c>
      <c r="S40" s="25">
        <v>0.0</v>
      </c>
      <c r="T40" s="25">
        <v>0.0</v>
      </c>
      <c r="U40" s="25">
        <v>0.0</v>
      </c>
      <c r="V40" s="25">
        <v>0.0</v>
      </c>
      <c r="W40" s="25">
        <v>0.0</v>
      </c>
      <c r="X40" s="25">
        <v>0.0</v>
      </c>
      <c r="Y40" s="25">
        <v>0.0</v>
      </c>
      <c r="Z40" s="25">
        <v>0.0</v>
      </c>
      <c r="AA40" s="25"/>
      <c r="AB40" s="25"/>
      <c r="AC40" s="25"/>
      <c r="AD40" s="25"/>
      <c r="AE40" s="26"/>
      <c r="AF40" s="26"/>
    </row>
    <row r="41">
      <c r="A41" s="3" t="s">
        <v>137</v>
      </c>
      <c r="B41" s="23">
        <v>0.0</v>
      </c>
      <c r="C41" s="23">
        <v>0.0</v>
      </c>
      <c r="D41" s="23">
        <v>0.0</v>
      </c>
      <c r="E41" s="23">
        <v>-154872.64</v>
      </c>
      <c r="F41" s="23">
        <v>0.0</v>
      </c>
      <c r="G41" s="23">
        <v>-51.0</v>
      </c>
      <c r="H41" s="23">
        <v>86205.22</v>
      </c>
      <c r="I41" s="23">
        <v>78630.3</v>
      </c>
      <c r="J41" s="23">
        <v>50014.5</v>
      </c>
      <c r="K41" s="23">
        <v>58485.13</v>
      </c>
      <c r="L41" s="23">
        <v>79422.5</v>
      </c>
      <c r="M41" s="23">
        <v>123270.25</v>
      </c>
      <c r="N41" s="23">
        <v>26023.79</v>
      </c>
      <c r="O41" s="23">
        <v>63523.06</v>
      </c>
      <c r="P41" s="23">
        <v>-363998.72</v>
      </c>
      <c r="Q41" s="23">
        <v>0.0</v>
      </c>
      <c r="R41" s="23">
        <v>0.0</v>
      </c>
      <c r="S41" s="23">
        <v>0.0</v>
      </c>
      <c r="T41" s="23">
        <v>0.0</v>
      </c>
      <c r="U41" s="23">
        <v>0.0</v>
      </c>
      <c r="V41" s="23">
        <v>0.0</v>
      </c>
      <c r="W41" s="23">
        <v>0.0</v>
      </c>
      <c r="X41" s="23">
        <v>0.0</v>
      </c>
      <c r="Y41" s="23">
        <v>0.0</v>
      </c>
      <c r="Z41" s="23">
        <v>0.0</v>
      </c>
      <c r="AA41" s="23">
        <v>0.0</v>
      </c>
      <c r="AB41" s="23">
        <v>0.0</v>
      </c>
      <c r="AC41" s="23">
        <v>0.0</v>
      </c>
      <c r="AD41" s="23">
        <v>0.0</v>
      </c>
      <c r="AE41" s="23">
        <v>0.0</v>
      </c>
      <c r="AF41" s="23">
        <v>0.0</v>
      </c>
    </row>
    <row r="42">
      <c r="A42" s="3" t="s">
        <v>15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>
      <c r="A43" s="3" t="s">
        <v>138</v>
      </c>
      <c r="B43" s="23" t="s">
        <v>126</v>
      </c>
      <c r="C43" s="23" t="s">
        <v>126</v>
      </c>
      <c r="D43" s="23" t="s">
        <v>126</v>
      </c>
      <c r="E43" s="23" t="s">
        <v>126</v>
      </c>
      <c r="F43" s="23" t="s">
        <v>126</v>
      </c>
      <c r="G43" s="23" t="s">
        <v>126</v>
      </c>
      <c r="H43" s="23" t="s">
        <v>126</v>
      </c>
      <c r="I43" s="23" t="s">
        <v>126</v>
      </c>
      <c r="J43" s="23" t="s">
        <v>126</v>
      </c>
      <c r="K43" s="23" t="s">
        <v>126</v>
      </c>
      <c r="L43" s="23" t="s">
        <v>126</v>
      </c>
      <c r="M43" s="23" t="s">
        <v>126</v>
      </c>
      <c r="N43" s="23" t="s">
        <v>126</v>
      </c>
      <c r="O43" s="23" t="s">
        <v>126</v>
      </c>
      <c r="P43" s="23" t="s">
        <v>126</v>
      </c>
      <c r="Q43" s="23" t="s">
        <v>126</v>
      </c>
      <c r="R43" s="23" t="s">
        <v>126</v>
      </c>
      <c r="S43" s="23" t="s">
        <v>126</v>
      </c>
      <c r="T43" s="23" t="s">
        <v>126</v>
      </c>
      <c r="U43" s="23" t="s">
        <v>126</v>
      </c>
      <c r="V43" s="23" t="s">
        <v>126</v>
      </c>
      <c r="W43" s="23"/>
      <c r="X43" s="23"/>
      <c r="Y43" s="23"/>
      <c r="Z43" s="23"/>
      <c r="AA43" s="23"/>
      <c r="AB43" s="23"/>
      <c r="AC43" s="23"/>
      <c r="AD43" s="23"/>
    </row>
    <row r="44">
      <c r="A44" s="3" t="s">
        <v>139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>
      <c r="A45" s="3" t="s">
        <v>140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>
      <c r="A46" s="3" t="s">
        <v>141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>
      <c r="A47" s="3" t="s">
        <v>142</v>
      </c>
      <c r="B47" s="25">
        <v>1000000.0</v>
      </c>
      <c r="C47" s="25">
        <v>1000000.0</v>
      </c>
      <c r="D47" s="25">
        <v>1000000.0</v>
      </c>
      <c r="E47" s="25">
        <v>1000000.0</v>
      </c>
      <c r="F47" s="25">
        <v>1000000.0</v>
      </c>
      <c r="G47" s="25">
        <v>1000000.0</v>
      </c>
      <c r="H47" s="25">
        <v>1000000.0</v>
      </c>
      <c r="I47" s="25">
        <v>1000000.0</v>
      </c>
      <c r="J47" s="25">
        <v>1000000.0</v>
      </c>
      <c r="K47" s="25">
        <v>1000000.0</v>
      </c>
      <c r="L47" s="25">
        <v>1000000.0</v>
      </c>
      <c r="M47" s="25">
        <v>1000000.0</v>
      </c>
      <c r="N47" s="25">
        <v>1000000.0</v>
      </c>
      <c r="O47" s="25">
        <v>1000000.0</v>
      </c>
      <c r="P47" s="25">
        <v>1000000.0</v>
      </c>
      <c r="Q47" s="25">
        <v>1000000.0</v>
      </c>
      <c r="R47" s="25">
        <v>500000.0</v>
      </c>
      <c r="S47" s="25">
        <v>500000.0</v>
      </c>
      <c r="T47" s="25">
        <v>500000.0</v>
      </c>
      <c r="U47" s="25">
        <v>500000.0</v>
      </c>
      <c r="V47" s="25">
        <v>500000.0</v>
      </c>
      <c r="W47" s="25">
        <v>500000.0</v>
      </c>
      <c r="X47" s="25">
        <v>500000.0</v>
      </c>
      <c r="Y47" s="25">
        <v>500000.0</v>
      </c>
      <c r="Z47" s="25">
        <v>500000.0</v>
      </c>
      <c r="AA47" s="25">
        <v>500000.0</v>
      </c>
      <c r="AB47" s="25">
        <v>500000.0</v>
      </c>
      <c r="AC47" s="25">
        <v>500000.0</v>
      </c>
      <c r="AD47" s="25">
        <v>500000.0</v>
      </c>
      <c r="AE47" s="25">
        <v>500000.0</v>
      </c>
      <c r="AF47" s="25">
        <v>500000.0</v>
      </c>
    </row>
    <row r="48">
      <c r="A48" s="3" t="s">
        <v>143</v>
      </c>
      <c r="B48" s="23">
        <v>1000000.0</v>
      </c>
      <c r="C48" s="23">
        <v>1000000.0</v>
      </c>
      <c r="D48" s="23">
        <v>1000000.0</v>
      </c>
      <c r="E48" s="23">
        <v>1000000.0</v>
      </c>
      <c r="F48" s="23">
        <v>1000000.0</v>
      </c>
      <c r="G48" s="23">
        <v>1000000.0</v>
      </c>
      <c r="H48" s="23">
        <v>1000000.0</v>
      </c>
      <c r="I48" s="23">
        <v>1000000.0</v>
      </c>
      <c r="J48" s="23">
        <v>1000000.0</v>
      </c>
      <c r="K48" s="23">
        <v>1000000.0</v>
      </c>
      <c r="L48" s="23">
        <v>1000000.0</v>
      </c>
      <c r="M48" s="23">
        <v>1000000.0</v>
      </c>
      <c r="N48" s="23">
        <v>1000000.0</v>
      </c>
      <c r="O48" s="23">
        <v>1000000.0</v>
      </c>
      <c r="P48" s="23">
        <v>1000000.0</v>
      </c>
      <c r="Q48" s="23">
        <v>1000000.0</v>
      </c>
      <c r="R48" s="23">
        <v>500000.0</v>
      </c>
      <c r="S48" s="23">
        <v>500000.0</v>
      </c>
      <c r="T48" s="23">
        <v>500000.0</v>
      </c>
      <c r="U48" s="23">
        <v>500000.0</v>
      </c>
      <c r="V48" s="23">
        <v>500000.0</v>
      </c>
      <c r="W48" s="23">
        <v>500000.0</v>
      </c>
      <c r="X48" s="23">
        <v>500000.0</v>
      </c>
      <c r="Y48" s="23">
        <v>500000.0</v>
      </c>
      <c r="Z48" s="23">
        <v>500000.0</v>
      </c>
      <c r="AA48" s="23">
        <v>500000.0</v>
      </c>
      <c r="AB48" s="23">
        <v>500000.0</v>
      </c>
      <c r="AC48" s="23">
        <v>500000.0</v>
      </c>
      <c r="AD48" s="23">
        <v>500000.0</v>
      </c>
      <c r="AE48" s="23">
        <v>500000.0</v>
      </c>
      <c r="AF48" s="23">
        <v>500000.0</v>
      </c>
    </row>
    <row r="49">
      <c r="A49" s="3" t="s">
        <v>15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>
      <c r="A50" s="3" t="s">
        <v>144</v>
      </c>
      <c r="B50" s="23" t="s">
        <v>126</v>
      </c>
      <c r="C50" s="23" t="s">
        <v>126</v>
      </c>
      <c r="D50" s="23" t="s">
        <v>126</v>
      </c>
      <c r="E50" s="23" t="s">
        <v>126</v>
      </c>
      <c r="F50" s="23" t="s">
        <v>126</v>
      </c>
      <c r="G50" s="23" t="s">
        <v>126</v>
      </c>
      <c r="H50" s="23" t="s">
        <v>126</v>
      </c>
      <c r="I50" s="23" t="s">
        <v>126</v>
      </c>
      <c r="J50" s="23" t="s">
        <v>126</v>
      </c>
      <c r="K50" s="23" t="s">
        <v>126</v>
      </c>
      <c r="L50" s="23" t="s">
        <v>126</v>
      </c>
      <c r="M50" s="23" t="s">
        <v>126</v>
      </c>
      <c r="N50" s="23" t="s">
        <v>126</v>
      </c>
      <c r="O50" s="23" t="s">
        <v>126</v>
      </c>
      <c r="P50" s="23" t="s">
        <v>126</v>
      </c>
      <c r="Q50" s="23" t="s">
        <v>126</v>
      </c>
      <c r="R50" s="23" t="s">
        <v>126</v>
      </c>
      <c r="S50" s="23" t="s">
        <v>126</v>
      </c>
      <c r="T50" s="23" t="s">
        <v>126</v>
      </c>
      <c r="U50" s="23" t="s">
        <v>126</v>
      </c>
      <c r="V50" s="23" t="s">
        <v>126</v>
      </c>
      <c r="W50" s="23"/>
      <c r="X50" s="23"/>
      <c r="Y50" s="23"/>
      <c r="Z50" s="23"/>
      <c r="AA50" s="23"/>
      <c r="AB50" s="23"/>
      <c r="AC50" s="23"/>
      <c r="AD50" s="23"/>
    </row>
    <row r="51">
      <c r="A51" s="3" t="s">
        <v>145</v>
      </c>
      <c r="B51" s="23">
        <v>16295.39</v>
      </c>
      <c r="C51" s="23">
        <v>40491.43</v>
      </c>
      <c r="D51" s="23">
        <v>-55359.9</v>
      </c>
      <c r="E51" s="23">
        <v>67983.11</v>
      </c>
      <c r="F51" s="23">
        <v>10544.91</v>
      </c>
      <c r="G51" s="23">
        <v>-14582.38</v>
      </c>
      <c r="H51" s="23">
        <v>-9390.66</v>
      </c>
      <c r="I51" s="23">
        <v>74503.76</v>
      </c>
      <c r="J51" s="23">
        <v>10618.2</v>
      </c>
      <c r="K51" s="23">
        <v>30022.37</v>
      </c>
      <c r="L51" s="23">
        <v>115523.26</v>
      </c>
      <c r="M51" s="23">
        <v>250080.99</v>
      </c>
      <c r="N51" s="23">
        <v>135519.42</v>
      </c>
      <c r="O51" s="23">
        <v>180348.8</v>
      </c>
      <c r="P51" s="23">
        <v>240328.38</v>
      </c>
      <c r="Q51" s="23">
        <v>226584.61</v>
      </c>
      <c r="R51" s="23">
        <v>135850.86</v>
      </c>
      <c r="S51" s="23">
        <v>200108.54</v>
      </c>
      <c r="T51" s="23">
        <v>280234.97</v>
      </c>
      <c r="U51" s="23">
        <v>164367.07</v>
      </c>
      <c r="V51" s="23">
        <v>-18703.97</v>
      </c>
      <c r="W51" s="23">
        <v>90269.34</v>
      </c>
      <c r="X51" s="23">
        <v>67511.59</v>
      </c>
      <c r="Y51" s="23">
        <v>1257.32</v>
      </c>
      <c r="Z51" s="23">
        <v>504.38</v>
      </c>
      <c r="AA51" s="23">
        <v>0.0</v>
      </c>
      <c r="AB51" s="23">
        <v>5.0</v>
      </c>
      <c r="AC51" s="23">
        <v>0.0</v>
      </c>
      <c r="AD51" s="23">
        <v>146.97</v>
      </c>
      <c r="AE51" s="23">
        <v>1832.33</v>
      </c>
      <c r="AF51" s="23">
        <v>1014.46</v>
      </c>
    </row>
    <row r="52">
      <c r="A52" s="3" t="s">
        <v>146</v>
      </c>
      <c r="B52" s="23">
        <v>0.0</v>
      </c>
      <c r="C52" s="23">
        <v>0.0</v>
      </c>
      <c r="D52" s="23">
        <v>5.85</v>
      </c>
      <c r="E52" s="23">
        <v>3769.46</v>
      </c>
      <c r="F52" s="23">
        <v>-2745.5</v>
      </c>
      <c r="G52" s="23">
        <v>1289.52</v>
      </c>
      <c r="H52" s="23">
        <v>129.36</v>
      </c>
      <c r="I52" s="23">
        <v>1563.01</v>
      </c>
      <c r="J52" s="23">
        <v>-2749.92</v>
      </c>
      <c r="K52" s="23">
        <v>2968.73</v>
      </c>
      <c r="L52" s="23">
        <v>6331.36</v>
      </c>
      <c r="M52" s="23">
        <v>326597.21</v>
      </c>
      <c r="N52" s="23">
        <v>408598.66</v>
      </c>
      <c r="O52" s="23">
        <v>452180.67</v>
      </c>
      <c r="P52" s="23">
        <v>554635.51</v>
      </c>
      <c r="Q52" s="23">
        <v>604820.14</v>
      </c>
      <c r="R52" s="23">
        <v>665224.35</v>
      </c>
      <c r="S52" s="23">
        <v>742899.88</v>
      </c>
      <c r="T52" s="23">
        <v>794489.85</v>
      </c>
      <c r="U52" s="23">
        <v>851700.22</v>
      </c>
      <c r="V52" s="23">
        <v>872578.89</v>
      </c>
      <c r="W52" s="23">
        <v>-0.43</v>
      </c>
      <c r="X52" s="23">
        <v>-0.43</v>
      </c>
      <c r="Y52" s="23">
        <v>-0.43</v>
      </c>
      <c r="Z52" s="23">
        <v>-0.43</v>
      </c>
      <c r="AA52" s="23">
        <v>0.0</v>
      </c>
      <c r="AB52" s="23">
        <v>0.0</v>
      </c>
      <c r="AC52" s="23">
        <v>0.0</v>
      </c>
      <c r="AD52" s="23">
        <v>0.0</v>
      </c>
    </row>
    <row r="53">
      <c r="A53" s="3" t="s">
        <v>147</v>
      </c>
      <c r="B53" s="23">
        <v>4335.31</v>
      </c>
      <c r="C53" s="23">
        <v>-3366.86</v>
      </c>
      <c r="D53" s="23">
        <v>0.0</v>
      </c>
      <c r="E53" s="23">
        <v>0.0</v>
      </c>
      <c r="F53" s="23">
        <v>-688.34</v>
      </c>
      <c r="G53" s="23">
        <v>-688.34</v>
      </c>
      <c r="H53" s="23">
        <v>0.0</v>
      </c>
      <c r="I53" s="23">
        <v>0.0</v>
      </c>
      <c r="J53" s="23">
        <v>0.0</v>
      </c>
      <c r="K53" s="23">
        <v>0.0</v>
      </c>
      <c r="L53" s="23">
        <v>0.0</v>
      </c>
      <c r="M53" s="23">
        <v>0.0</v>
      </c>
      <c r="N53" s="23"/>
      <c r="O53" s="23">
        <v>0.0</v>
      </c>
      <c r="P53" s="23">
        <v>0.0</v>
      </c>
      <c r="Q53" s="23">
        <v>0.0</v>
      </c>
      <c r="R53" s="23">
        <v>0.0</v>
      </c>
      <c r="S53" s="23">
        <v>0.0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3">
        <v>0.0</v>
      </c>
      <c r="AA53" s="23"/>
      <c r="AB53" s="23"/>
      <c r="AC53" s="23"/>
      <c r="AD53" s="23"/>
    </row>
    <row r="54">
      <c r="A54" s="3" t="s">
        <v>148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>
        <v>0.0</v>
      </c>
      <c r="P54" s="23">
        <v>0.0</v>
      </c>
      <c r="Q54" s="23">
        <v>0.0</v>
      </c>
      <c r="R54" s="23">
        <v>0.0</v>
      </c>
      <c r="S54" s="23">
        <v>0.0</v>
      </c>
      <c r="T54" s="23">
        <v>0.0</v>
      </c>
      <c r="U54" s="23">
        <v>0.0</v>
      </c>
      <c r="V54" s="23">
        <v>0.0</v>
      </c>
      <c r="W54" s="23">
        <v>0.0</v>
      </c>
      <c r="X54" s="23">
        <v>64404.7</v>
      </c>
      <c r="Y54" s="23">
        <v>93005.33</v>
      </c>
      <c r="Z54" s="23">
        <v>-46708.08</v>
      </c>
      <c r="AA54" s="23">
        <v>11830.92</v>
      </c>
      <c r="AB54" s="23">
        <v>58970.58</v>
      </c>
      <c r="AC54" s="23">
        <v>86584.43</v>
      </c>
      <c r="AD54" s="23">
        <v>241149.44</v>
      </c>
      <c r="AE54" s="24">
        <v>236455.96</v>
      </c>
      <c r="AF54" s="24">
        <v>116180.77</v>
      </c>
    </row>
    <row r="55">
      <c r="A55" s="3" t="s">
        <v>149</v>
      </c>
      <c r="B55" s="23">
        <v>185518.01</v>
      </c>
      <c r="C55" s="23">
        <v>139357.69</v>
      </c>
      <c r="D55" s="23">
        <v>88103.76</v>
      </c>
      <c r="E55" s="23">
        <v>35496.97</v>
      </c>
      <c r="F55" s="23">
        <v>0.0</v>
      </c>
      <c r="G55" s="23">
        <v>0.0</v>
      </c>
      <c r="H55" s="23">
        <v>0.0</v>
      </c>
      <c r="I55" s="23">
        <v>0.0</v>
      </c>
      <c r="J55" s="23">
        <v>0.0</v>
      </c>
      <c r="K55" s="23">
        <v>0.0</v>
      </c>
      <c r="L55" s="23">
        <v>0.0</v>
      </c>
      <c r="M55" s="23">
        <v>0.0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476190.48</v>
      </c>
      <c r="T55" s="23">
        <v>428677.11</v>
      </c>
      <c r="U55" s="23">
        <v>291291.5</v>
      </c>
      <c r="V55" s="23">
        <v>676714.11</v>
      </c>
      <c r="W55" s="23">
        <v>438623.83</v>
      </c>
      <c r="X55" s="23">
        <v>256695.12</v>
      </c>
      <c r="Y55" s="23">
        <v>157537.68</v>
      </c>
      <c r="Z55" s="23">
        <v>33590.88</v>
      </c>
      <c r="AA55" s="23">
        <v>0.0</v>
      </c>
      <c r="AB55" s="23">
        <v>0.0</v>
      </c>
      <c r="AC55" s="23">
        <v>0.0</v>
      </c>
      <c r="AD55" s="23">
        <v>0.0</v>
      </c>
      <c r="AE55" s="23">
        <v>1384615.38</v>
      </c>
      <c r="AF55" s="23">
        <v>1153846.14</v>
      </c>
    </row>
    <row r="56">
      <c r="A56" s="3" t="s">
        <v>150</v>
      </c>
      <c r="B56" s="25">
        <v>0.0</v>
      </c>
      <c r="C56" s="25">
        <v>0.0</v>
      </c>
      <c r="D56" s="25">
        <v>0.0</v>
      </c>
      <c r="E56" s="25">
        <v>0.0</v>
      </c>
      <c r="F56" s="25">
        <v>0.0</v>
      </c>
      <c r="G56" s="25">
        <v>0.0</v>
      </c>
      <c r="H56" s="25">
        <v>0.0</v>
      </c>
      <c r="I56" s="25">
        <v>8610.0</v>
      </c>
      <c r="J56" s="25">
        <v>683.0</v>
      </c>
      <c r="K56" s="25">
        <v>0.0</v>
      </c>
      <c r="L56" s="25">
        <v>0.0</v>
      </c>
      <c r="M56" s="25">
        <v>176837.44</v>
      </c>
      <c r="N56" s="25">
        <v>31113.79</v>
      </c>
      <c r="O56" s="25">
        <v>167322.06</v>
      </c>
      <c r="P56" s="25">
        <v>220775.18</v>
      </c>
      <c r="Q56" s="25">
        <v>64915.59</v>
      </c>
      <c r="R56" s="25">
        <v>89808.17</v>
      </c>
      <c r="S56" s="25">
        <v>0.0</v>
      </c>
      <c r="T56" s="25">
        <v>0.0</v>
      </c>
      <c r="U56" s="25">
        <v>0.0</v>
      </c>
      <c r="V56" s="25">
        <v>62961.28</v>
      </c>
      <c r="W56" s="25">
        <v>0.0</v>
      </c>
      <c r="X56" s="25">
        <v>0.0</v>
      </c>
      <c r="Y56" s="25">
        <v>0.0</v>
      </c>
      <c r="Z56" s="25">
        <v>0.0</v>
      </c>
      <c r="AA56" s="25">
        <v>0.0</v>
      </c>
      <c r="AB56" s="25">
        <v>0.0</v>
      </c>
      <c r="AC56" s="25">
        <v>0.0</v>
      </c>
      <c r="AD56" s="25">
        <v>0.0</v>
      </c>
      <c r="AE56" s="26"/>
      <c r="AF56" s="26"/>
    </row>
    <row r="57">
      <c r="A57" s="3" t="s">
        <v>151</v>
      </c>
      <c r="B57" s="23">
        <v>206148.71000000002</v>
      </c>
      <c r="C57" s="23">
        <v>176482.26</v>
      </c>
      <c r="D57" s="23">
        <v>32749.709999999992</v>
      </c>
      <c r="E57" s="23">
        <v>107249.54000000001</v>
      </c>
      <c r="F57" s="23">
        <v>7111.07</v>
      </c>
      <c r="G57" s="23">
        <v>-13981.199999999999</v>
      </c>
      <c r="H57" s="23">
        <v>-9261.3</v>
      </c>
      <c r="I57" s="23">
        <v>84676.76999999999</v>
      </c>
      <c r="J57" s="23">
        <v>8551.28</v>
      </c>
      <c r="K57" s="23">
        <v>32991.1</v>
      </c>
      <c r="L57" s="23">
        <v>121854.62</v>
      </c>
      <c r="M57" s="23">
        <v>753515.6399999999</v>
      </c>
      <c r="N57" s="23">
        <v>575231.87</v>
      </c>
      <c r="O57" s="23">
        <v>799851.53</v>
      </c>
      <c r="P57" s="23">
        <v>1015739.0700000001</v>
      </c>
      <c r="Q57" s="23">
        <v>896320.34</v>
      </c>
      <c r="R57" s="23">
        <v>890883.38</v>
      </c>
      <c r="S57" s="23">
        <v>1419198.9</v>
      </c>
      <c r="T57" s="23">
        <v>1503401.9299999997</v>
      </c>
      <c r="U57" s="23">
        <v>1307358.79</v>
      </c>
      <c r="V57" s="23">
        <v>1593550.31</v>
      </c>
      <c r="W57" s="23">
        <v>528892.74</v>
      </c>
      <c r="X57" s="23">
        <v>388610.98</v>
      </c>
      <c r="Y57" s="23">
        <v>251799.9</v>
      </c>
      <c r="Z57" s="23">
        <v>-12778.550000000003</v>
      </c>
      <c r="AA57" s="23">
        <v>11830.92</v>
      </c>
      <c r="AB57" s="23">
        <v>58975.58</v>
      </c>
      <c r="AC57" s="23">
        <v>86584.43</v>
      </c>
      <c r="AD57" s="23">
        <v>241296.41</v>
      </c>
      <c r="AE57" s="23">
        <v>1622903.67</v>
      </c>
      <c r="AF57" s="23">
        <v>1271041.3699999999</v>
      </c>
    </row>
    <row r="58">
      <c r="A58" s="3" t="s">
        <v>15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6"/>
      <c r="AF58" s="26"/>
    </row>
    <row r="59">
      <c r="A59" s="3" t="s">
        <v>152</v>
      </c>
      <c r="B59" s="23">
        <v>2665071.0599999996</v>
      </c>
      <c r="C59" s="23">
        <v>2811098.45</v>
      </c>
      <c r="D59" s="23">
        <v>2491286.6</v>
      </c>
      <c r="E59" s="23">
        <v>2595924.09</v>
      </c>
      <c r="F59" s="23">
        <v>2616088.29</v>
      </c>
      <c r="G59" s="23">
        <v>2464736.34</v>
      </c>
      <c r="H59" s="23">
        <v>2556248.4499999997</v>
      </c>
      <c r="I59" s="23">
        <v>2713922.04</v>
      </c>
      <c r="J59" s="23">
        <v>2798138.74</v>
      </c>
      <c r="K59" s="23">
        <v>2813830.4299999997</v>
      </c>
      <c r="L59" s="23">
        <v>2936259.08</v>
      </c>
      <c r="M59" s="23">
        <v>3156934.23</v>
      </c>
      <c r="N59" s="23">
        <v>2913007.87</v>
      </c>
      <c r="O59" s="23">
        <v>3100337.62</v>
      </c>
      <c r="P59" s="23">
        <v>2932645.98</v>
      </c>
      <c r="Q59" s="23">
        <v>3565437.5999999996</v>
      </c>
      <c r="R59" s="23">
        <v>2533326.79</v>
      </c>
      <c r="S59" s="23">
        <v>3488398.9699999997</v>
      </c>
      <c r="T59" s="23">
        <v>3403610.76</v>
      </c>
      <c r="U59" s="23">
        <v>2774185.57</v>
      </c>
      <c r="V59" s="23">
        <v>2968927.87</v>
      </c>
      <c r="W59" s="23">
        <v>2527493.74</v>
      </c>
      <c r="X59" s="23">
        <v>2761744.38</v>
      </c>
      <c r="Y59" s="23">
        <v>2769958.3600000003</v>
      </c>
      <c r="Z59" s="23">
        <v>1853605.47</v>
      </c>
      <c r="AA59" s="23">
        <v>2269806.99</v>
      </c>
      <c r="AB59" s="23">
        <v>1716361.4700000002</v>
      </c>
      <c r="AC59" s="23">
        <v>1797507.06</v>
      </c>
      <c r="AD59" s="23">
        <v>2314086.46</v>
      </c>
      <c r="AE59" s="23">
        <v>4770859.68</v>
      </c>
      <c r="AF59" s="23">
        <v>6991834.53</v>
      </c>
    </row>
    <row r="60">
      <c r="A60" s="3" t="s">
        <v>15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4"/>
      <c r="AA60" s="4"/>
      <c r="AB60" s="4"/>
      <c r="AC60" s="4"/>
      <c r="AD60" s="4"/>
      <c r="AE60" s="4"/>
      <c r="AF60" s="4"/>
    </row>
    <row r="61">
      <c r="A61" s="3" t="s">
        <v>153</v>
      </c>
      <c r="B61" s="23" t="s">
        <v>123</v>
      </c>
      <c r="C61" s="23" t="s">
        <v>123</v>
      </c>
      <c r="D61" s="23" t="s">
        <v>123</v>
      </c>
      <c r="E61" s="23" t="s">
        <v>123</v>
      </c>
      <c r="F61" s="23" t="s">
        <v>123</v>
      </c>
      <c r="G61" s="23" t="s">
        <v>123</v>
      </c>
      <c r="H61" s="23" t="s">
        <v>123</v>
      </c>
      <c r="I61" s="23" t="s">
        <v>123</v>
      </c>
      <c r="J61" s="23" t="s">
        <v>123</v>
      </c>
      <c r="K61" s="23" t="s">
        <v>123</v>
      </c>
      <c r="L61" s="23" t="s">
        <v>123</v>
      </c>
      <c r="M61" s="23" t="s">
        <v>123</v>
      </c>
      <c r="N61" s="23" t="s">
        <v>123</v>
      </c>
      <c r="O61" s="23" t="s">
        <v>123</v>
      </c>
      <c r="P61" s="23" t="s">
        <v>123</v>
      </c>
      <c r="Q61" s="23" t="s">
        <v>123</v>
      </c>
      <c r="R61" s="23" t="s">
        <v>123</v>
      </c>
      <c r="S61" s="23" t="s">
        <v>123</v>
      </c>
      <c r="T61" s="23" t="s">
        <v>123</v>
      </c>
      <c r="U61" s="23" t="s">
        <v>123</v>
      </c>
      <c r="V61" s="23" t="s">
        <v>123</v>
      </c>
      <c r="W61" s="23"/>
      <c r="X61" s="23"/>
      <c r="Y61" s="23"/>
      <c r="Z61" s="23"/>
      <c r="AA61" s="23"/>
      <c r="AB61" s="23"/>
      <c r="AC61" s="23"/>
      <c r="AD61" s="23"/>
    </row>
    <row r="62">
      <c r="A62" s="3" t="s">
        <v>154</v>
      </c>
      <c r="B62" s="25">
        <v>2686855.0</v>
      </c>
      <c r="C62" s="25">
        <v>2686855.0</v>
      </c>
      <c r="D62" s="25">
        <v>2686855.0</v>
      </c>
      <c r="E62" s="25">
        <v>7365022.0</v>
      </c>
      <c r="F62" s="25">
        <v>7365022.0</v>
      </c>
      <c r="G62" s="25">
        <v>7365022.0</v>
      </c>
      <c r="H62" s="25">
        <v>7365022.0</v>
      </c>
      <c r="I62" s="25">
        <v>7365022.0</v>
      </c>
      <c r="J62" s="25">
        <v>7365022.0</v>
      </c>
      <c r="K62" s="25">
        <v>7365022.0</v>
      </c>
      <c r="L62" s="25">
        <v>7332022.0</v>
      </c>
      <c r="M62" s="25">
        <v>7332022.0</v>
      </c>
      <c r="N62" s="25">
        <v>7332022.0</v>
      </c>
      <c r="O62" s="25">
        <v>7332022.0</v>
      </c>
      <c r="P62" s="25">
        <v>7332022.0</v>
      </c>
      <c r="Q62" s="25">
        <v>7332022.0</v>
      </c>
      <c r="R62" s="25">
        <v>0.0</v>
      </c>
      <c r="S62" s="25">
        <v>0.0</v>
      </c>
      <c r="T62" s="25">
        <v>0.0</v>
      </c>
      <c r="U62" s="25">
        <v>0.0</v>
      </c>
      <c r="V62" s="25">
        <v>0.0</v>
      </c>
      <c r="W62" s="25">
        <v>0.0</v>
      </c>
      <c r="X62" s="25">
        <v>0.0</v>
      </c>
      <c r="Y62" s="25">
        <v>0.0</v>
      </c>
      <c r="Z62" s="25">
        <v>0.0</v>
      </c>
      <c r="AA62" s="25"/>
      <c r="AB62" s="25"/>
      <c r="AC62" s="25"/>
      <c r="AD62" s="25"/>
      <c r="AE62" s="26"/>
      <c r="AF62" s="26"/>
    </row>
    <row r="63">
      <c r="A63" s="3" t="s">
        <v>155</v>
      </c>
      <c r="B63" s="23">
        <v>2686855.0</v>
      </c>
      <c r="C63" s="23">
        <v>2686855.0</v>
      </c>
      <c r="D63" s="23">
        <v>2686855.0</v>
      </c>
      <c r="E63" s="23">
        <v>7365022.0</v>
      </c>
      <c r="F63" s="23">
        <v>7365022.0</v>
      </c>
      <c r="G63" s="23">
        <v>7365022.0</v>
      </c>
      <c r="H63" s="23">
        <v>7365022.0</v>
      </c>
      <c r="I63" s="23">
        <v>7365022.0</v>
      </c>
      <c r="J63" s="23">
        <v>7365022.0</v>
      </c>
      <c r="K63" s="23">
        <v>7365022.0</v>
      </c>
      <c r="L63" s="23">
        <v>7332022.0</v>
      </c>
      <c r="M63" s="23">
        <v>7332022.0</v>
      </c>
      <c r="N63" s="23">
        <v>7332022.0</v>
      </c>
      <c r="O63" s="23">
        <v>7332022.0</v>
      </c>
      <c r="P63" s="23">
        <v>7332022.0</v>
      </c>
      <c r="Q63" s="23">
        <v>7332022.0</v>
      </c>
      <c r="R63" s="23">
        <v>0.0</v>
      </c>
      <c r="S63" s="23">
        <v>0.0</v>
      </c>
      <c r="T63" s="23">
        <v>0.0</v>
      </c>
      <c r="U63" s="23">
        <v>0.0</v>
      </c>
      <c r="V63" s="23">
        <v>0.0</v>
      </c>
      <c r="W63" s="23">
        <v>0.0</v>
      </c>
      <c r="X63" s="23">
        <v>0.0</v>
      </c>
      <c r="Y63" s="23">
        <v>0.0</v>
      </c>
      <c r="Z63" s="23">
        <v>0.0</v>
      </c>
      <c r="AA63" s="23">
        <v>0.0</v>
      </c>
      <c r="AB63" s="23">
        <v>0.0</v>
      </c>
      <c r="AC63" s="23">
        <v>0.0</v>
      </c>
      <c r="AD63" s="23">
        <v>0.0</v>
      </c>
    </row>
    <row r="64">
      <c r="A64" s="3" t="s">
        <v>15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>
      <c r="A65" s="10" t="s">
        <v>156</v>
      </c>
      <c r="B65" s="28">
        <v>5351926.06</v>
      </c>
      <c r="C65" s="28">
        <v>5497953.45</v>
      </c>
      <c r="D65" s="28">
        <v>5178141.6</v>
      </c>
      <c r="E65" s="28">
        <v>9960946.09</v>
      </c>
      <c r="F65" s="28">
        <v>9981110.29</v>
      </c>
      <c r="G65" s="28">
        <v>9829758.34</v>
      </c>
      <c r="H65" s="28">
        <v>9921270.45</v>
      </c>
      <c r="I65" s="28">
        <v>1.007894404E7</v>
      </c>
      <c r="J65" s="28">
        <v>1.016316074E7</v>
      </c>
      <c r="K65" s="28">
        <v>1.017885243E7</v>
      </c>
      <c r="L65" s="28">
        <v>1.026828108E7</v>
      </c>
      <c r="M65" s="28">
        <v>1.048895623E7</v>
      </c>
      <c r="N65" s="28">
        <v>1.0245029870000001E7</v>
      </c>
      <c r="O65" s="28">
        <v>1.0432359620000001E7</v>
      </c>
      <c r="P65" s="28">
        <v>1.026466798E7</v>
      </c>
      <c r="Q65" s="28">
        <v>1.08974596E7</v>
      </c>
      <c r="R65" s="28">
        <v>2533326.79</v>
      </c>
      <c r="S65" s="28">
        <v>3488398.9699999997</v>
      </c>
      <c r="T65" s="28">
        <v>3403610.76</v>
      </c>
      <c r="U65" s="28">
        <v>2774185.57</v>
      </c>
      <c r="V65" s="28">
        <v>2968927.87</v>
      </c>
      <c r="W65" s="28">
        <v>2527493.74</v>
      </c>
      <c r="X65" s="28">
        <v>2761744.38</v>
      </c>
      <c r="Y65" s="28">
        <v>2769958.3600000003</v>
      </c>
      <c r="Z65" s="28">
        <v>1853605.47</v>
      </c>
      <c r="AA65" s="28">
        <v>2269806.99</v>
      </c>
      <c r="AB65" s="28">
        <v>1716361.4700000002</v>
      </c>
      <c r="AC65" s="28">
        <v>1797507.06</v>
      </c>
      <c r="AD65" s="28">
        <v>2314086.46</v>
      </c>
      <c r="AE65" s="28">
        <v>4770859.68</v>
      </c>
      <c r="AF65" s="28">
        <v>6993200.71</v>
      </c>
    </row>
    <row r="66">
      <c r="A66" s="3" t="s">
        <v>15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>
      <c r="A67" s="3" t="s">
        <v>157</v>
      </c>
      <c r="B67" s="23" t="s">
        <v>17</v>
      </c>
      <c r="C67" s="23" t="s">
        <v>17</v>
      </c>
      <c r="D67" s="23" t="s">
        <v>17</v>
      </c>
      <c r="E67" s="23" t="s">
        <v>17</v>
      </c>
      <c r="F67" s="23" t="s">
        <v>17</v>
      </c>
      <c r="G67" s="23" t="s">
        <v>17</v>
      </c>
      <c r="H67" s="23" t="s">
        <v>17</v>
      </c>
      <c r="I67" s="23" t="s">
        <v>17</v>
      </c>
      <c r="J67" s="23" t="s">
        <v>17</v>
      </c>
      <c r="K67" s="23" t="s">
        <v>17</v>
      </c>
      <c r="L67" s="23" t="s">
        <v>17</v>
      </c>
      <c r="M67" s="23" t="s">
        <v>17</v>
      </c>
      <c r="N67" s="23" t="s">
        <v>17</v>
      </c>
      <c r="O67" s="23" t="s">
        <v>17</v>
      </c>
      <c r="P67" s="23" t="s">
        <v>17</v>
      </c>
      <c r="Q67" s="23" t="s">
        <v>17</v>
      </c>
      <c r="R67" s="23" t="s">
        <v>17</v>
      </c>
      <c r="S67" s="23" t="s">
        <v>17</v>
      </c>
      <c r="T67" s="23" t="s">
        <v>17</v>
      </c>
      <c r="U67" s="23" t="s">
        <v>17</v>
      </c>
      <c r="V67" s="23" t="s">
        <v>17</v>
      </c>
      <c r="W67" s="23"/>
      <c r="X67" s="23"/>
      <c r="Y67" s="23"/>
      <c r="Z67" s="23"/>
      <c r="AA67" s="23"/>
      <c r="AB67" s="23"/>
      <c r="AC67" s="23"/>
      <c r="AD67" s="23"/>
    </row>
    <row r="68">
      <c r="A68" s="3" t="s">
        <v>15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>
      <c r="A69" s="3" t="s">
        <v>158</v>
      </c>
      <c r="B69" s="23" t="s">
        <v>123</v>
      </c>
      <c r="C69" s="23" t="s">
        <v>123</v>
      </c>
      <c r="D69" s="23" t="s">
        <v>123</v>
      </c>
      <c r="E69" s="23" t="s">
        <v>123</v>
      </c>
      <c r="F69" s="23" t="s">
        <v>123</v>
      </c>
      <c r="G69" s="23" t="s">
        <v>123</v>
      </c>
      <c r="H69" s="23" t="s">
        <v>123</v>
      </c>
      <c r="I69" s="23" t="s">
        <v>123</v>
      </c>
      <c r="J69" s="23" t="s">
        <v>123</v>
      </c>
      <c r="K69" s="23" t="s">
        <v>123</v>
      </c>
      <c r="L69" s="23" t="s">
        <v>123</v>
      </c>
      <c r="M69" s="23" t="s">
        <v>123</v>
      </c>
      <c r="N69" s="23" t="s">
        <v>123</v>
      </c>
      <c r="O69" s="23" t="s">
        <v>123</v>
      </c>
      <c r="P69" s="23" t="s">
        <v>123</v>
      </c>
      <c r="Q69" s="23" t="s">
        <v>123</v>
      </c>
      <c r="R69" s="23" t="s">
        <v>123</v>
      </c>
      <c r="S69" s="23" t="s">
        <v>123</v>
      </c>
      <c r="T69" s="23" t="s">
        <v>123</v>
      </c>
      <c r="U69" s="23" t="s">
        <v>123</v>
      </c>
      <c r="V69" s="23" t="s">
        <v>123</v>
      </c>
      <c r="W69" s="23"/>
      <c r="X69" s="23"/>
      <c r="Y69" s="23"/>
      <c r="Z69" s="23"/>
      <c r="AA69" s="23"/>
      <c r="AB69" s="23"/>
      <c r="AC69" s="23"/>
      <c r="AD69" s="23"/>
    </row>
    <row r="70">
      <c r="A70" s="3" t="s">
        <v>159</v>
      </c>
      <c r="B70" s="25">
        <v>3000.0</v>
      </c>
      <c r="C70" s="25">
        <v>3000.0</v>
      </c>
      <c r="D70" s="25">
        <v>3000.0</v>
      </c>
      <c r="E70" s="25">
        <v>3000.0</v>
      </c>
      <c r="F70" s="25">
        <v>3000.0</v>
      </c>
      <c r="G70" s="25">
        <v>3000.0</v>
      </c>
      <c r="H70" s="25">
        <v>3000.0</v>
      </c>
      <c r="I70" s="25">
        <v>3000.0</v>
      </c>
      <c r="J70" s="25">
        <v>3000.0</v>
      </c>
      <c r="K70" s="25">
        <v>3000.0</v>
      </c>
      <c r="L70" s="25">
        <v>3000.0</v>
      </c>
      <c r="M70" s="25">
        <v>3000.0</v>
      </c>
      <c r="N70" s="25">
        <v>3000.0</v>
      </c>
      <c r="O70" s="25">
        <v>3000.0</v>
      </c>
      <c r="P70" s="25">
        <v>3000.0</v>
      </c>
      <c r="Q70" s="25">
        <v>3000.0</v>
      </c>
      <c r="R70" s="25">
        <v>3000.0</v>
      </c>
      <c r="S70" s="25">
        <v>3000.0</v>
      </c>
      <c r="T70" s="25">
        <v>3000.0</v>
      </c>
      <c r="U70" s="25">
        <v>3000.0</v>
      </c>
      <c r="V70" s="25">
        <v>3000.0</v>
      </c>
      <c r="W70" s="25">
        <v>3000.0</v>
      </c>
      <c r="X70" s="25">
        <v>3000.0</v>
      </c>
      <c r="Y70" s="25">
        <v>3000.0</v>
      </c>
      <c r="Z70" s="25">
        <v>3000.0</v>
      </c>
      <c r="AA70" s="25">
        <v>3000.0</v>
      </c>
      <c r="AB70" s="25">
        <v>3000.0</v>
      </c>
      <c r="AC70" s="25">
        <v>3000.0</v>
      </c>
      <c r="AD70" s="25">
        <v>3000.0</v>
      </c>
      <c r="AE70" s="25">
        <v>3000.0</v>
      </c>
      <c r="AF70" s="25">
        <v>3000.0</v>
      </c>
    </row>
    <row r="71">
      <c r="A71" s="3" t="s">
        <v>160</v>
      </c>
      <c r="B71" s="23">
        <v>3000.0</v>
      </c>
      <c r="C71" s="23">
        <v>3000.0</v>
      </c>
      <c r="D71" s="23">
        <v>3000.0</v>
      </c>
      <c r="E71" s="23">
        <v>3000.0</v>
      </c>
      <c r="F71" s="23">
        <v>3000.0</v>
      </c>
      <c r="G71" s="23">
        <v>3000.0</v>
      </c>
      <c r="H71" s="23">
        <v>3000.0</v>
      </c>
      <c r="I71" s="23">
        <v>3000.0</v>
      </c>
      <c r="J71" s="23">
        <v>3000.0</v>
      </c>
      <c r="K71" s="23">
        <v>3000.0</v>
      </c>
      <c r="L71" s="23">
        <v>3000.0</v>
      </c>
      <c r="M71" s="23">
        <v>3000.0</v>
      </c>
      <c r="N71" s="23">
        <v>3000.0</v>
      </c>
      <c r="O71" s="23">
        <v>3000.0</v>
      </c>
      <c r="P71" s="23">
        <v>3000.0</v>
      </c>
      <c r="Q71" s="23">
        <v>3000.0</v>
      </c>
      <c r="R71" s="23">
        <v>3000.0</v>
      </c>
      <c r="S71" s="23">
        <v>3000.0</v>
      </c>
      <c r="T71" s="23">
        <v>3000.0</v>
      </c>
      <c r="U71" s="23">
        <v>3000.0</v>
      </c>
      <c r="V71" s="23">
        <v>3000.0</v>
      </c>
      <c r="W71" s="23">
        <v>3000.0</v>
      </c>
      <c r="X71" s="23">
        <v>3000.0</v>
      </c>
      <c r="Y71" s="23">
        <v>3000.0</v>
      </c>
      <c r="Z71" s="23">
        <v>3000.0</v>
      </c>
      <c r="AA71" s="23">
        <v>3000.0</v>
      </c>
      <c r="AB71" s="23">
        <v>3000.0</v>
      </c>
      <c r="AC71" s="23">
        <v>3000.0</v>
      </c>
      <c r="AD71" s="23">
        <v>3000.0</v>
      </c>
      <c r="AE71" s="23">
        <v>3000.0</v>
      </c>
      <c r="AF71" s="23">
        <v>3000.0</v>
      </c>
    </row>
    <row r="72">
      <c r="A72" s="3" t="s">
        <v>15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>
      <c r="A73" s="3" t="s">
        <v>161</v>
      </c>
      <c r="B73" s="23" t="s">
        <v>123</v>
      </c>
      <c r="C73" s="23" t="s">
        <v>123</v>
      </c>
      <c r="D73" s="23" t="s">
        <v>123</v>
      </c>
      <c r="E73" s="23" t="s">
        <v>123</v>
      </c>
      <c r="F73" s="23" t="s">
        <v>123</v>
      </c>
      <c r="G73" s="23" t="s">
        <v>123</v>
      </c>
      <c r="H73" s="23" t="s">
        <v>123</v>
      </c>
      <c r="I73" s="23" t="s">
        <v>123</v>
      </c>
      <c r="J73" s="23" t="s">
        <v>123</v>
      </c>
      <c r="K73" s="23" t="s">
        <v>123</v>
      </c>
      <c r="L73" s="23" t="s">
        <v>123</v>
      </c>
      <c r="M73" s="23" t="s">
        <v>123</v>
      </c>
      <c r="N73" s="23" t="s">
        <v>123</v>
      </c>
      <c r="O73" s="23" t="s">
        <v>123</v>
      </c>
      <c r="P73" s="23" t="s">
        <v>123</v>
      </c>
      <c r="Q73" s="23" t="s">
        <v>123</v>
      </c>
      <c r="R73" s="23" t="s">
        <v>123</v>
      </c>
      <c r="S73" s="23" t="s">
        <v>123</v>
      </c>
      <c r="T73" s="23" t="s">
        <v>123</v>
      </c>
      <c r="U73" s="23" t="s">
        <v>123</v>
      </c>
      <c r="V73" s="23" t="s">
        <v>123</v>
      </c>
      <c r="W73" s="23"/>
      <c r="X73" s="23"/>
      <c r="Y73" s="23"/>
      <c r="Z73" s="23"/>
      <c r="AA73" s="23"/>
      <c r="AB73" s="23"/>
      <c r="AC73" s="23"/>
      <c r="AD73" s="23"/>
    </row>
    <row r="74">
      <c r="A74" s="30" t="s">
        <v>162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>
        <v>0.0</v>
      </c>
      <c r="P74" s="23">
        <v>0.0</v>
      </c>
      <c r="Q74" s="23">
        <v>0.0</v>
      </c>
      <c r="R74" s="23">
        <v>9843474.48</v>
      </c>
      <c r="S74" s="23">
        <v>9843474.48</v>
      </c>
      <c r="T74" s="23">
        <v>9843474.48</v>
      </c>
      <c r="U74" s="23">
        <v>9843474.48</v>
      </c>
      <c r="V74" s="23">
        <v>9843474.48</v>
      </c>
      <c r="W74" s="23">
        <v>1.084347448E7</v>
      </c>
      <c r="X74" s="23">
        <v>1.124347448E7</v>
      </c>
      <c r="Y74" s="23">
        <v>1.484347415E7</v>
      </c>
      <c r="Z74" s="23">
        <v>1.484347415E7</v>
      </c>
      <c r="AA74" s="23">
        <v>1.484347415E7</v>
      </c>
      <c r="AB74" s="23">
        <v>1.484347415E7</v>
      </c>
      <c r="AC74" s="23">
        <v>1.484347415E7</v>
      </c>
      <c r="AD74" s="23">
        <v>1.484347415E7</v>
      </c>
      <c r="AE74" s="24">
        <v>1.484347415E7</v>
      </c>
      <c r="AF74" s="24">
        <v>1.484347415E7</v>
      </c>
    </row>
    <row r="75">
      <c r="A75" s="3" t="s">
        <v>163</v>
      </c>
      <c r="B75" s="25">
        <v>0.0</v>
      </c>
      <c r="C75" s="25">
        <v>0.0</v>
      </c>
      <c r="D75" s="25">
        <v>0.0</v>
      </c>
      <c r="E75" s="25">
        <v>-3990200.0</v>
      </c>
      <c r="F75" s="25">
        <v>-3990200.0</v>
      </c>
      <c r="G75" s="25">
        <v>-3990200.0</v>
      </c>
      <c r="H75" s="25">
        <v>-3990200.0</v>
      </c>
      <c r="I75" s="25">
        <v>-3990200.0</v>
      </c>
      <c r="J75" s="25">
        <v>-3990200.0</v>
      </c>
      <c r="K75" s="25">
        <v>-3990200.0</v>
      </c>
      <c r="L75" s="25">
        <v>-3990200.0</v>
      </c>
      <c r="M75" s="25">
        <v>-3990200.0</v>
      </c>
      <c r="N75" s="25">
        <v>-3990200.0</v>
      </c>
      <c r="O75" s="25">
        <v>-3990200.0</v>
      </c>
      <c r="P75" s="25">
        <v>-3990200.0</v>
      </c>
      <c r="Q75" s="25">
        <v>-3990200.0</v>
      </c>
      <c r="R75" s="25">
        <v>-3990200.0</v>
      </c>
      <c r="S75" s="25">
        <v>-3990200.0</v>
      </c>
      <c r="T75" s="25">
        <v>-3990200.0</v>
      </c>
      <c r="U75" s="25">
        <v>-3990200.0</v>
      </c>
      <c r="V75" s="25">
        <v>-3990200.0</v>
      </c>
      <c r="W75" s="25">
        <v>-3990200.0</v>
      </c>
      <c r="X75" s="25">
        <v>-3990200.0</v>
      </c>
      <c r="Y75" s="25">
        <v>-3990200.0</v>
      </c>
      <c r="Z75" s="25">
        <v>-3990200.0</v>
      </c>
      <c r="AA75" s="25">
        <v>-3990200.0</v>
      </c>
      <c r="AB75" s="25">
        <v>-3990200.0</v>
      </c>
      <c r="AC75" s="25">
        <v>-3990200.0</v>
      </c>
      <c r="AD75" s="25">
        <v>-3990200.0</v>
      </c>
      <c r="AE75" s="25">
        <v>-3990200.0</v>
      </c>
      <c r="AF75" s="25">
        <v>-3990200.0</v>
      </c>
    </row>
    <row r="76">
      <c r="A76" s="3" t="s">
        <v>164</v>
      </c>
      <c r="B76" s="23">
        <v>0.0</v>
      </c>
      <c r="C76" s="23">
        <v>0.0</v>
      </c>
      <c r="D76" s="23">
        <v>0.0</v>
      </c>
      <c r="E76" s="23">
        <v>-3990200.0</v>
      </c>
      <c r="F76" s="23">
        <v>-3990200.0</v>
      </c>
      <c r="G76" s="23">
        <v>-3990200.0</v>
      </c>
      <c r="H76" s="23">
        <v>-3990200.0</v>
      </c>
      <c r="I76" s="23">
        <v>-3990200.0</v>
      </c>
      <c r="J76" s="23">
        <v>-3990200.0</v>
      </c>
      <c r="K76" s="23">
        <v>-3990200.0</v>
      </c>
      <c r="L76" s="23">
        <v>-3990200.0</v>
      </c>
      <c r="M76" s="23">
        <v>-3990200.0</v>
      </c>
      <c r="N76" s="23">
        <v>-3990200.0</v>
      </c>
      <c r="O76" s="23">
        <v>-3990200.0</v>
      </c>
      <c r="P76" s="23">
        <v>-3990200.0</v>
      </c>
      <c r="Q76" s="23">
        <v>-3990200.0</v>
      </c>
      <c r="R76" s="23">
        <v>5853274.48</v>
      </c>
      <c r="S76" s="23">
        <v>5853274.48</v>
      </c>
      <c r="T76" s="23">
        <v>5853274.48</v>
      </c>
      <c r="U76" s="23">
        <v>5853274.48</v>
      </c>
      <c r="V76" s="23">
        <v>5853274.48</v>
      </c>
      <c r="W76" s="23">
        <v>6853274.48</v>
      </c>
      <c r="X76" s="23">
        <v>7253274.48</v>
      </c>
      <c r="Y76" s="23">
        <v>1.085327415E7</v>
      </c>
      <c r="Z76" s="23">
        <v>1.085327415E7</v>
      </c>
      <c r="AA76" s="23">
        <v>1.085327415E7</v>
      </c>
      <c r="AB76" s="23">
        <v>1.085327415E7</v>
      </c>
      <c r="AC76" s="23">
        <v>1.085327415E7</v>
      </c>
      <c r="AD76" s="23">
        <v>1.085327415E7</v>
      </c>
      <c r="AE76" s="23">
        <v>1.085327415E7</v>
      </c>
      <c r="AF76" s="23">
        <v>1.085327415E7</v>
      </c>
    </row>
    <row r="77">
      <c r="A77" s="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>
      <c r="A78" s="3" t="s">
        <v>165</v>
      </c>
      <c r="B78" s="23" t="s">
        <v>123</v>
      </c>
      <c r="C78" s="23" t="s">
        <v>123</v>
      </c>
      <c r="D78" s="23" t="s">
        <v>123</v>
      </c>
      <c r="E78" s="23" t="s">
        <v>123</v>
      </c>
      <c r="F78" s="23" t="s">
        <v>123</v>
      </c>
      <c r="G78" s="23" t="s">
        <v>123</v>
      </c>
      <c r="H78" s="23" t="s">
        <v>123</v>
      </c>
      <c r="I78" s="23" t="s">
        <v>123</v>
      </c>
      <c r="J78" s="23" t="s">
        <v>123</v>
      </c>
      <c r="K78" s="23" t="s">
        <v>123</v>
      </c>
      <c r="L78" s="23" t="s">
        <v>123</v>
      </c>
      <c r="M78" s="23" t="s">
        <v>123</v>
      </c>
      <c r="N78" s="23" t="s">
        <v>123</v>
      </c>
      <c r="O78" s="23" t="s">
        <v>123</v>
      </c>
      <c r="P78" s="23" t="s">
        <v>123</v>
      </c>
      <c r="Q78" s="23" t="s">
        <v>123</v>
      </c>
      <c r="R78" s="23" t="s">
        <v>123</v>
      </c>
      <c r="S78" s="23" t="s">
        <v>123</v>
      </c>
      <c r="T78" s="23" t="s">
        <v>123</v>
      </c>
      <c r="U78" s="23" t="s">
        <v>123</v>
      </c>
      <c r="V78" s="23" t="s">
        <v>123</v>
      </c>
      <c r="W78" s="23"/>
      <c r="X78" s="23"/>
      <c r="Y78" s="23"/>
      <c r="Z78" s="23"/>
      <c r="AA78" s="23"/>
      <c r="AB78" s="23"/>
      <c r="AC78" s="23"/>
      <c r="AD78" s="23"/>
    </row>
    <row r="79">
      <c r="A79" s="3" t="s">
        <v>166</v>
      </c>
      <c r="B79" s="25">
        <v>-4049559.86</v>
      </c>
      <c r="C79" s="25">
        <v>-4049559.86</v>
      </c>
      <c r="D79" s="25">
        <v>-4049559.86</v>
      </c>
      <c r="E79" s="25">
        <v>-4049559.86</v>
      </c>
      <c r="F79" s="25">
        <v>-4049559.86</v>
      </c>
      <c r="G79" s="25">
        <v>-4049559.86</v>
      </c>
      <c r="H79" s="25">
        <v>-4049559.86</v>
      </c>
      <c r="I79" s="25">
        <v>-4049559.86</v>
      </c>
      <c r="J79" s="25">
        <v>-4049559.86</v>
      </c>
      <c r="K79" s="25">
        <v>-4049559.86</v>
      </c>
      <c r="L79" s="25">
        <v>-4049559.86</v>
      </c>
      <c r="M79" s="25">
        <v>-4049559.86</v>
      </c>
      <c r="N79" s="25">
        <v>-3846785.84</v>
      </c>
      <c r="O79" s="25">
        <v>-3846785.84</v>
      </c>
      <c r="P79" s="25">
        <v>-3846785.84</v>
      </c>
      <c r="Q79" s="25">
        <v>-3846785.84</v>
      </c>
      <c r="R79" s="25">
        <v>-3846785.84</v>
      </c>
      <c r="S79" s="25">
        <v>-3846785.84</v>
      </c>
      <c r="T79" s="25">
        <v>-3846785.84</v>
      </c>
      <c r="U79" s="25">
        <v>-3846785.84</v>
      </c>
      <c r="V79" s="25">
        <v>-3846785.84</v>
      </c>
      <c r="W79" s="25">
        <v>-3846785.84</v>
      </c>
      <c r="X79" s="25">
        <v>-3846785.84</v>
      </c>
      <c r="Y79" s="25">
        <v>-3846785.84</v>
      </c>
      <c r="Z79" s="25">
        <v>-5952290.62</v>
      </c>
      <c r="AA79" s="25">
        <v>-5952290.62</v>
      </c>
      <c r="AB79" s="25">
        <v>-5952290.62</v>
      </c>
      <c r="AC79" s="25">
        <v>-5952290.62</v>
      </c>
      <c r="AD79" s="25">
        <v>-5952290.62</v>
      </c>
      <c r="AE79" s="25">
        <v>-5952290.62</v>
      </c>
      <c r="AF79" s="25">
        <v>-5952290.62</v>
      </c>
    </row>
    <row r="80">
      <c r="A80" s="3" t="s">
        <v>167</v>
      </c>
      <c r="B80" s="23">
        <v>-4049559.86</v>
      </c>
      <c r="C80" s="23">
        <v>-4049559.86</v>
      </c>
      <c r="D80" s="23">
        <v>-4049559.86</v>
      </c>
      <c r="E80" s="23">
        <v>-4049559.86</v>
      </c>
      <c r="F80" s="23">
        <v>-4049559.86</v>
      </c>
      <c r="G80" s="23">
        <v>-4049559.86</v>
      </c>
      <c r="H80" s="23">
        <v>-4049559.86</v>
      </c>
      <c r="I80" s="23">
        <v>-4049559.86</v>
      </c>
      <c r="J80" s="23">
        <v>-4049559.86</v>
      </c>
      <c r="K80" s="23">
        <v>-4049559.86</v>
      </c>
      <c r="L80" s="23">
        <v>-4049559.86</v>
      </c>
      <c r="M80" s="23">
        <v>-4049559.86</v>
      </c>
      <c r="N80" s="23">
        <v>-3846785.84</v>
      </c>
      <c r="O80" s="23">
        <v>-3846785.84</v>
      </c>
      <c r="P80" s="23">
        <v>-3846785.84</v>
      </c>
      <c r="Q80" s="23">
        <v>-3846785.84</v>
      </c>
      <c r="R80" s="23">
        <v>-3846785.84</v>
      </c>
      <c r="S80" s="23">
        <v>-3846785.84</v>
      </c>
      <c r="T80" s="23">
        <v>-3846785.84</v>
      </c>
      <c r="U80" s="23">
        <v>-3846785.84</v>
      </c>
      <c r="V80" s="23">
        <v>-3846785.84</v>
      </c>
      <c r="W80" s="23">
        <v>-3846785.84</v>
      </c>
      <c r="X80" s="23">
        <v>-3846785.84</v>
      </c>
      <c r="Y80" s="23">
        <v>-3846785.84</v>
      </c>
      <c r="Z80" s="23">
        <v>-5930125.7</v>
      </c>
      <c r="AA80" s="23">
        <v>-5950955.7</v>
      </c>
      <c r="AB80" s="23">
        <v>-5950955.7</v>
      </c>
      <c r="AC80" s="23">
        <v>-5950955.7</v>
      </c>
      <c r="AD80" s="23">
        <v>-5952290.62</v>
      </c>
      <c r="AE80" s="23">
        <v>-5952290.62</v>
      </c>
      <c r="AF80" s="23">
        <v>-5952290.62</v>
      </c>
    </row>
    <row r="81">
      <c r="A81" s="3" t="s">
        <v>15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>
      <c r="A82" s="3" t="s">
        <v>168</v>
      </c>
      <c r="B82" s="23">
        <v>100933.43</v>
      </c>
      <c r="C82" s="23">
        <v>78988.39</v>
      </c>
      <c r="D82" s="23">
        <v>198629.27</v>
      </c>
      <c r="E82" s="23">
        <v>55169.5</v>
      </c>
      <c r="F82" s="23">
        <v>-45186.55</v>
      </c>
      <c r="G82" s="23">
        <v>195982.33</v>
      </c>
      <c r="H82" s="23">
        <v>479292.73</v>
      </c>
      <c r="I82" s="23">
        <v>651006.21</v>
      </c>
      <c r="J82" s="23">
        <v>718881.66</v>
      </c>
      <c r="K82" s="23">
        <v>277084.21</v>
      </c>
      <c r="L82" s="23">
        <v>251007.43</v>
      </c>
      <c r="M82" s="23">
        <v>202774.02</v>
      </c>
      <c r="N82" s="23">
        <v>60893.61</v>
      </c>
      <c r="O82" s="23">
        <v>151254.4</v>
      </c>
      <c r="P82" s="23">
        <v>-32001.85</v>
      </c>
      <c r="Q82" s="23">
        <v>-318516.23</v>
      </c>
      <c r="R82" s="23">
        <v>-1002627.83</v>
      </c>
      <c r="S82" s="23">
        <v>-1139332.84</v>
      </c>
      <c r="T82" s="23">
        <v>-1342986.04</v>
      </c>
      <c r="U82" s="23">
        <v>-1654795.22</v>
      </c>
      <c r="V82" s="23">
        <v>-1603147.86</v>
      </c>
      <c r="W82" s="23">
        <v>-1824443.62</v>
      </c>
      <c r="X82" s="23">
        <v>-1969119.55</v>
      </c>
      <c r="Y82" s="23">
        <v>-2083339.86</v>
      </c>
      <c r="Z82" s="23">
        <v>-142631.2</v>
      </c>
      <c r="AA82" s="23">
        <v>-332509.66</v>
      </c>
      <c r="AB82" s="23">
        <v>-495347.68</v>
      </c>
      <c r="AC82" s="23">
        <v>-536088.15</v>
      </c>
      <c r="AD82" s="23">
        <v>-1309801.79</v>
      </c>
      <c r="AE82" s="4">
        <v>-2775240.24</v>
      </c>
      <c r="AF82" s="4">
        <v>-4873639.47</v>
      </c>
    </row>
    <row r="83">
      <c r="A83" s="3" t="s">
        <v>15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>
      <c r="A84" s="10" t="s">
        <v>169</v>
      </c>
      <c r="B84" s="28">
        <v>-3945626.4299999997</v>
      </c>
      <c r="C84" s="28">
        <v>-3967571.4699999997</v>
      </c>
      <c r="D84" s="28">
        <v>-3847930.59</v>
      </c>
      <c r="E84" s="28">
        <v>-7981590.359999999</v>
      </c>
      <c r="F84" s="28">
        <v>-8081946.409999999</v>
      </c>
      <c r="G84" s="28">
        <v>-7840777.529999999</v>
      </c>
      <c r="H84" s="28">
        <v>-7557467.129999999</v>
      </c>
      <c r="I84" s="28">
        <v>-7385753.649999999</v>
      </c>
      <c r="J84" s="28">
        <v>-7317878.199999999</v>
      </c>
      <c r="K84" s="28">
        <v>-7759675.649999999</v>
      </c>
      <c r="L84" s="28">
        <v>-7785752.43</v>
      </c>
      <c r="M84" s="28">
        <v>-7833985.84</v>
      </c>
      <c r="N84" s="28">
        <v>-7773092.2299999995</v>
      </c>
      <c r="O84" s="28">
        <v>-7682731.4399999995</v>
      </c>
      <c r="P84" s="28">
        <v>-7865987.6899999995</v>
      </c>
      <c r="Q84" s="28">
        <v>-8152502.07</v>
      </c>
      <c r="R84" s="28">
        <v>1006860.8100000006</v>
      </c>
      <c r="S84" s="28">
        <v>870155.8000000005</v>
      </c>
      <c r="T84" s="28">
        <v>666502.6000000006</v>
      </c>
      <c r="U84" s="28">
        <v>354693.4200000006</v>
      </c>
      <c r="V84" s="28">
        <v>406340.7800000005</v>
      </c>
      <c r="W84" s="28">
        <v>1185045.0200000005</v>
      </c>
      <c r="X84" s="28">
        <v>1440369.0900000005</v>
      </c>
      <c r="Y84" s="28">
        <v>4926148.45</v>
      </c>
      <c r="Z84" s="28">
        <v>4783517.25</v>
      </c>
      <c r="AA84" s="28">
        <v>4572808.79</v>
      </c>
      <c r="AB84" s="28">
        <v>4409970.7700000005</v>
      </c>
      <c r="AC84" s="28">
        <v>4369230.3</v>
      </c>
      <c r="AD84" s="28">
        <v>3594181.74</v>
      </c>
      <c r="AE84" s="28">
        <v>2128743.29</v>
      </c>
      <c r="AF84" s="28">
        <v>30344.06</v>
      </c>
    </row>
    <row r="85">
      <c r="A85" s="3" t="s">
        <v>15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>
      <c r="A86" s="31" t="s">
        <v>170</v>
      </c>
      <c r="B86" s="32">
        <v>1406299.63</v>
      </c>
      <c r="C86" s="32">
        <v>1530381.9800000004</v>
      </c>
      <c r="D86" s="32">
        <v>1330211.0099999998</v>
      </c>
      <c r="E86" s="32">
        <v>1979355.7300000004</v>
      </c>
      <c r="F86" s="32">
        <v>1899163.88</v>
      </c>
      <c r="G86" s="32">
        <v>1988980.8100000005</v>
      </c>
      <c r="H86" s="32">
        <v>2363803.3200000003</v>
      </c>
      <c r="I86" s="32">
        <v>2693190.3899999997</v>
      </c>
      <c r="J86" s="32">
        <v>2845282.540000001</v>
      </c>
      <c r="K86" s="32">
        <v>2419176.7800000003</v>
      </c>
      <c r="L86" s="32">
        <v>2482528.6500000004</v>
      </c>
      <c r="M86" s="32">
        <v>2654970.3900000006</v>
      </c>
      <c r="N86" s="32">
        <v>2471937.6400000015</v>
      </c>
      <c r="O86" s="32">
        <v>2749628.1800000016</v>
      </c>
      <c r="P86" s="32">
        <v>2398680.290000001</v>
      </c>
      <c r="Q86" s="32">
        <v>2744957.5299999993</v>
      </c>
      <c r="R86" s="32">
        <v>3540187.6000000006</v>
      </c>
      <c r="S86" s="32">
        <v>4358554.7700000005</v>
      </c>
      <c r="T86" s="32">
        <v>4070113.3600000003</v>
      </c>
      <c r="U86" s="32">
        <v>3128878.99</v>
      </c>
      <c r="V86" s="32">
        <v>3375268.6500000004</v>
      </c>
      <c r="W86" s="32">
        <v>3712538.7600000007</v>
      </c>
      <c r="X86" s="32">
        <v>4202113.470000001</v>
      </c>
      <c r="Y86" s="32">
        <v>7696106.8100000005</v>
      </c>
      <c r="Z86" s="32">
        <v>6614009.72</v>
      </c>
      <c r="AA86" s="32">
        <v>6842615.78</v>
      </c>
      <c r="AB86" s="32">
        <v>6126332.24</v>
      </c>
      <c r="AC86" s="32">
        <v>6166737.359999999</v>
      </c>
      <c r="AD86" s="32">
        <v>5908268.2</v>
      </c>
      <c r="AE86" s="32">
        <v>6899602.97</v>
      </c>
      <c r="AF86" s="32">
        <v>7023544.77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38"/>
    <col customWidth="1" min="5" max="5" width="29.5"/>
  </cols>
  <sheetData>
    <row r="1">
      <c r="A1" s="33" t="s">
        <v>171</v>
      </c>
    </row>
    <row r="3">
      <c r="A3" s="34" t="s">
        <v>172</v>
      </c>
      <c r="B3" s="34" t="s">
        <v>173</v>
      </c>
      <c r="D3" s="34" t="s">
        <v>174</v>
      </c>
      <c r="E3" s="34" t="s">
        <v>175</v>
      </c>
    </row>
    <row r="4">
      <c r="A4" s="34" t="s">
        <v>176</v>
      </c>
      <c r="B4" s="34" t="s">
        <v>177</v>
      </c>
      <c r="D4" s="34" t="s">
        <v>178</v>
      </c>
      <c r="E4" s="34" t="s">
        <v>178</v>
      </c>
    </row>
    <row r="5">
      <c r="A5" s="34" t="s">
        <v>179</v>
      </c>
      <c r="B5" s="34" t="s">
        <v>180</v>
      </c>
      <c r="D5" s="34" t="s">
        <v>181</v>
      </c>
      <c r="E5" s="34" t="s">
        <v>182</v>
      </c>
    </row>
    <row r="6">
      <c r="A6" s="34" t="s">
        <v>183</v>
      </c>
      <c r="B6" s="34" t="s">
        <v>184</v>
      </c>
      <c r="D6" s="34" t="s">
        <v>185</v>
      </c>
      <c r="E6" s="34" t="s">
        <v>186</v>
      </c>
    </row>
    <row r="7">
      <c r="A7" s="34" t="s">
        <v>187</v>
      </c>
      <c r="B7" s="34" t="s">
        <v>188</v>
      </c>
      <c r="D7" s="34" t="s">
        <v>189</v>
      </c>
      <c r="E7" s="34" t="s">
        <v>190</v>
      </c>
    </row>
    <row r="8">
      <c r="A8" s="34" t="s">
        <v>191</v>
      </c>
      <c r="B8" s="34" t="s">
        <v>192</v>
      </c>
      <c r="D8" s="34" t="s">
        <v>193</v>
      </c>
      <c r="E8" s="34" t="s">
        <v>194</v>
      </c>
    </row>
    <row r="9">
      <c r="A9" s="34" t="s">
        <v>195</v>
      </c>
      <c r="B9" s="34" t="s">
        <v>195</v>
      </c>
      <c r="D9" s="34" t="s">
        <v>196</v>
      </c>
      <c r="E9" s="34" t="s">
        <v>197</v>
      </c>
    </row>
    <row r="10">
      <c r="A10" s="34" t="s">
        <v>198</v>
      </c>
      <c r="B10" s="34" t="s">
        <v>199</v>
      </c>
      <c r="D10" s="34" t="s">
        <v>200</v>
      </c>
      <c r="E10" s="34" t="s">
        <v>201</v>
      </c>
    </row>
    <row r="11">
      <c r="A11" s="34" t="s">
        <v>202</v>
      </c>
      <c r="B11" s="34" t="s">
        <v>203</v>
      </c>
      <c r="D11" s="34" t="s">
        <v>204</v>
      </c>
      <c r="E11" s="34" t="s">
        <v>205</v>
      </c>
    </row>
    <row r="12">
      <c r="A12" s="34" t="s">
        <v>206</v>
      </c>
      <c r="B12" s="34" t="s">
        <v>90</v>
      </c>
      <c r="D12" s="34" t="s">
        <v>207</v>
      </c>
      <c r="E12" s="34" t="s">
        <v>208</v>
      </c>
    </row>
    <row r="13">
      <c r="A13" s="34" t="s">
        <v>209</v>
      </c>
      <c r="B13" s="34" t="s">
        <v>210</v>
      </c>
      <c r="D13" s="34" t="s">
        <v>211</v>
      </c>
      <c r="E13" s="34" t="s">
        <v>212</v>
      </c>
    </row>
    <row r="14">
      <c r="A14" s="34" t="s">
        <v>213</v>
      </c>
      <c r="B14" s="34" t="s">
        <v>214</v>
      </c>
      <c r="D14" s="34" t="s">
        <v>215</v>
      </c>
      <c r="E14" s="34" t="s">
        <v>216</v>
      </c>
    </row>
    <row r="15">
      <c r="A15" s="34" t="s">
        <v>217</v>
      </c>
      <c r="B15" s="34" t="s">
        <v>217</v>
      </c>
      <c r="D15" s="34" t="s">
        <v>218</v>
      </c>
      <c r="E15" s="34" t="s">
        <v>219</v>
      </c>
    </row>
    <row r="16">
      <c r="A16" s="34" t="s">
        <v>220</v>
      </c>
      <c r="B16" s="34" t="s">
        <v>221</v>
      </c>
      <c r="D16" s="34" t="s">
        <v>222</v>
      </c>
      <c r="E16" s="34" t="s">
        <v>222</v>
      </c>
    </row>
    <row r="17">
      <c r="A17" s="34" t="s">
        <v>223</v>
      </c>
      <c r="B17" s="34" t="s">
        <v>224</v>
      </c>
    </row>
    <row r="18">
      <c r="A18" s="34" t="s">
        <v>225</v>
      </c>
      <c r="B18" s="34" t="s">
        <v>226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13"/>
    <col customWidth="1" min="2" max="3" width="14.88"/>
    <col customWidth="1" min="4" max="5" width="8.63"/>
    <col customWidth="1" min="6" max="6" width="30.25"/>
    <col customWidth="1" min="7" max="26" width="8.63"/>
  </cols>
  <sheetData>
    <row r="1" ht="12.75" customHeight="1">
      <c r="A1" s="35" t="s">
        <v>227</v>
      </c>
      <c r="B1" s="36"/>
      <c r="C1" s="37"/>
    </row>
    <row r="2" ht="12.75" customHeight="1">
      <c r="A2" s="38" t="s">
        <v>228</v>
      </c>
      <c r="B2" s="39"/>
      <c r="C2" s="40"/>
    </row>
    <row r="3" ht="12.75" customHeight="1">
      <c r="A3" s="41" t="s">
        <v>229</v>
      </c>
      <c r="B3" s="42">
        <v>2020.0</v>
      </c>
      <c r="C3" s="43">
        <v>2019.0</v>
      </c>
    </row>
    <row r="4" ht="12.75" customHeight="1">
      <c r="A4" s="44"/>
      <c r="B4" s="45"/>
      <c r="C4" s="46"/>
    </row>
    <row r="5" ht="12.75" customHeight="1">
      <c r="A5" s="47" t="s">
        <v>230</v>
      </c>
      <c r="B5" s="48">
        <v>1.55E7</v>
      </c>
      <c r="C5" s="49">
        <v>1.4625E7</v>
      </c>
    </row>
    <row r="6" ht="12.75" customHeight="1">
      <c r="A6" s="47" t="s">
        <v>231</v>
      </c>
      <c r="B6" s="50">
        <v>-9900000.0</v>
      </c>
      <c r="C6" s="51">
        <v>-1.05E7</v>
      </c>
    </row>
    <row r="7" ht="12.75" customHeight="1">
      <c r="A7" s="47" t="s">
        <v>232</v>
      </c>
      <c r="B7" s="48">
        <f t="shared" ref="B7:C7" si="1">B5+B6</f>
        <v>5600000</v>
      </c>
      <c r="C7" s="49">
        <f t="shared" si="1"/>
        <v>4125000</v>
      </c>
    </row>
    <row r="8" ht="15.0" customHeight="1">
      <c r="A8" s="47" t="s">
        <v>233</v>
      </c>
      <c r="B8" s="50">
        <v>-3300000.0</v>
      </c>
      <c r="C8" s="51">
        <v>-2350000.0</v>
      </c>
    </row>
    <row r="9" ht="12.75" customHeight="1">
      <c r="A9" s="47" t="s">
        <v>234</v>
      </c>
      <c r="B9" s="48">
        <f t="shared" ref="B9:C9" si="2">B7+B8</f>
        <v>2300000</v>
      </c>
      <c r="C9" s="49">
        <f t="shared" si="2"/>
        <v>1775000</v>
      </c>
    </row>
    <row r="10" ht="15.75" customHeight="1">
      <c r="A10" s="47" t="s">
        <v>235</v>
      </c>
      <c r="B10" s="50">
        <v>-11000.0</v>
      </c>
      <c r="C10" s="51">
        <v>-10000.0</v>
      </c>
    </row>
    <row r="11" ht="12.75" customHeight="1">
      <c r="A11" s="47" t="s">
        <v>236</v>
      </c>
      <c r="B11" s="48">
        <f t="shared" ref="B11:C11" si="3">B9+B10</f>
        <v>2289000</v>
      </c>
      <c r="C11" s="49">
        <f t="shared" si="3"/>
        <v>1765000</v>
      </c>
    </row>
    <row r="12" ht="12.75" customHeight="1">
      <c r="A12" s="47" t="s">
        <v>237</v>
      </c>
      <c r="B12" s="50">
        <v>-93000.0</v>
      </c>
      <c r="C12" s="51">
        <v>-89000.0</v>
      </c>
    </row>
    <row r="13" ht="12.75" customHeight="1">
      <c r="A13" s="47" t="s">
        <v>238</v>
      </c>
      <c r="B13" s="48">
        <f t="shared" ref="B13:C13" si="4">SUM(B11:B12)</f>
        <v>2196000</v>
      </c>
      <c r="C13" s="49">
        <f t="shared" si="4"/>
        <v>1676000</v>
      </c>
    </row>
    <row r="14" ht="12.75" customHeight="1">
      <c r="A14" s="47" t="s">
        <v>239</v>
      </c>
      <c r="B14" s="50">
        <v>-42000.0</v>
      </c>
      <c r="C14" s="51">
        <v>-40000.0</v>
      </c>
    </row>
    <row r="15" ht="12.75" customHeight="1">
      <c r="A15" s="47" t="s">
        <v>240</v>
      </c>
      <c r="B15" s="48">
        <f t="shared" ref="B15:C15" si="5">SUM(B13:B14)</f>
        <v>2154000</v>
      </c>
      <c r="C15" s="49">
        <f t="shared" si="5"/>
        <v>1636000</v>
      </c>
    </row>
    <row r="16" ht="12.75" customHeight="1">
      <c r="A16" s="47" t="s">
        <v>241</v>
      </c>
      <c r="B16" s="50">
        <v>-1350000.0</v>
      </c>
      <c r="C16" s="51">
        <v>-1240000.0</v>
      </c>
    </row>
    <row r="17" ht="12.75" customHeight="1">
      <c r="A17" s="47" t="s">
        <v>242</v>
      </c>
      <c r="B17" s="48">
        <f t="shared" ref="B17:C17" si="6">SUM(B15:B16)</f>
        <v>804000</v>
      </c>
      <c r="C17" s="49">
        <f t="shared" si="6"/>
        <v>396000</v>
      </c>
    </row>
    <row r="18" ht="12.75" customHeight="1">
      <c r="A18" s="47" t="s">
        <v>243</v>
      </c>
      <c r="B18" s="50">
        <v>-87000.0</v>
      </c>
      <c r="C18" s="51">
        <v>-85000.0</v>
      </c>
    </row>
    <row r="19" ht="12.75" customHeight="1">
      <c r="A19" s="47" t="s">
        <v>244</v>
      </c>
      <c r="B19" s="48">
        <f t="shared" ref="B19:C19" si="7">SUM(B17:B18)</f>
        <v>717000</v>
      </c>
      <c r="C19" s="49">
        <f t="shared" si="7"/>
        <v>311000</v>
      </c>
    </row>
    <row r="20" ht="12.75" customHeight="1">
      <c r="A20" s="47" t="s">
        <v>245</v>
      </c>
      <c r="B20" s="52">
        <v>-18000.0</v>
      </c>
      <c r="C20" s="53">
        <v>-15000.0</v>
      </c>
    </row>
    <row r="21" ht="12.75" customHeight="1">
      <c r="A21" s="47" t="s">
        <v>246</v>
      </c>
      <c r="B21" s="50">
        <v>-400000.0</v>
      </c>
      <c r="C21" s="51">
        <v>-100000.0</v>
      </c>
    </row>
    <row r="22" ht="12.75" customHeight="1">
      <c r="A22" s="54" t="s">
        <v>247</v>
      </c>
      <c r="B22" s="48">
        <f t="shared" ref="B22:C22" si="8">SUM(B19:B21)</f>
        <v>299000</v>
      </c>
      <c r="C22" s="49">
        <f t="shared" si="8"/>
        <v>196000</v>
      </c>
    </row>
    <row r="23" ht="25.5" customHeight="1">
      <c r="A23" s="55" t="s">
        <v>248</v>
      </c>
      <c r="B23" s="56">
        <f t="shared" ref="B23:C23" si="9">B22/200000</f>
        <v>1.495</v>
      </c>
      <c r="C23" s="57">
        <f t="shared" si="9"/>
        <v>0.98</v>
      </c>
    </row>
    <row r="24" ht="12.75" customHeight="1">
      <c r="A24" s="20" t="s">
        <v>15</v>
      </c>
    </row>
    <row r="25" ht="12.75" customHeight="1">
      <c r="A25" s="20"/>
    </row>
    <row r="26" ht="12.75" customHeight="1">
      <c r="A26" s="20"/>
    </row>
    <row r="27" ht="12.75" customHeight="1">
      <c r="A27" s="20"/>
    </row>
    <row r="28" ht="12.75" customHeight="1">
      <c r="A28" s="20"/>
    </row>
    <row r="29" ht="12.75" customHeight="1">
      <c r="A29" s="20"/>
    </row>
    <row r="30" ht="12.75" customHeight="1">
      <c r="A30" s="20"/>
    </row>
    <row r="31" ht="12.75" customHeight="1">
      <c r="A31" s="20"/>
    </row>
    <row r="32" ht="12.75" customHeight="1">
      <c r="A32" s="20"/>
    </row>
    <row r="33" ht="12.75" customHeight="1">
      <c r="A33" s="20"/>
    </row>
    <row r="34" ht="12.75" customHeight="1">
      <c r="A34" s="20"/>
    </row>
    <row r="35" ht="12.75" customHeight="1">
      <c r="A35" s="20"/>
    </row>
    <row r="36" ht="12.75" customHeight="1">
      <c r="A36" s="20"/>
    </row>
    <row r="37" ht="12.75" customHeight="1">
      <c r="A37" s="20"/>
    </row>
    <row r="38" ht="12.75" customHeight="1">
      <c r="A38" s="20"/>
    </row>
    <row r="39" ht="12.75" customHeight="1">
      <c r="A39" s="20"/>
    </row>
    <row r="40" ht="12.75" customHeight="1">
      <c r="A40" s="20"/>
    </row>
    <row r="41" ht="12.75" customHeight="1">
      <c r="A41" s="20"/>
    </row>
    <row r="42" ht="12.75" customHeight="1">
      <c r="A42" s="20"/>
    </row>
    <row r="43" ht="12.75" customHeight="1">
      <c r="A43" s="20"/>
    </row>
    <row r="44" ht="12.75" customHeight="1">
      <c r="A44" s="20"/>
    </row>
    <row r="45" ht="12.75" customHeight="1">
      <c r="A45" s="20"/>
    </row>
    <row r="46" ht="12.75" customHeight="1">
      <c r="A46" s="20"/>
    </row>
    <row r="47" ht="12.75" customHeight="1">
      <c r="A47" s="20"/>
    </row>
    <row r="48" ht="12.75" customHeight="1">
      <c r="A48" s="20"/>
    </row>
    <row r="49" ht="12.75" customHeight="1">
      <c r="A49" s="20"/>
    </row>
    <row r="50" ht="12.75" customHeight="1">
      <c r="A50" s="20"/>
    </row>
    <row r="51" ht="12.75" customHeight="1">
      <c r="A51" s="20"/>
    </row>
    <row r="52" ht="12.75" customHeight="1">
      <c r="A52" s="20"/>
    </row>
    <row r="53" ht="12.75" customHeight="1">
      <c r="A53" s="20"/>
    </row>
    <row r="54" ht="12.75" customHeight="1">
      <c r="A54" s="20"/>
    </row>
    <row r="55" ht="12.75" customHeight="1">
      <c r="A55" s="20"/>
    </row>
    <row r="56" ht="12.75" customHeight="1">
      <c r="A56" s="20"/>
    </row>
    <row r="57" ht="12.75" customHeight="1">
      <c r="A57" s="20"/>
    </row>
    <row r="58" ht="12.75" customHeight="1">
      <c r="A58" s="20"/>
    </row>
    <row r="59" ht="12.75" customHeight="1">
      <c r="A59" s="20"/>
    </row>
    <row r="60" ht="12.75" customHeight="1">
      <c r="A60" s="20"/>
    </row>
    <row r="61" ht="12.75" customHeight="1">
      <c r="A61" s="20"/>
    </row>
    <row r="62" ht="12.75" customHeight="1">
      <c r="A62" s="20"/>
    </row>
    <row r="63" ht="12.75" customHeight="1">
      <c r="A63" s="20"/>
    </row>
    <row r="64" ht="12.75" customHeight="1">
      <c r="A64" s="20"/>
    </row>
    <row r="65" ht="12.75" customHeight="1">
      <c r="A65" s="20"/>
    </row>
    <row r="66" ht="12.75" customHeight="1">
      <c r="A66" s="20"/>
    </row>
    <row r="67" ht="12.75" customHeight="1">
      <c r="A67" s="20"/>
    </row>
    <row r="68" ht="12.75" customHeight="1">
      <c r="A68" s="20"/>
    </row>
    <row r="69" ht="12.75" customHeight="1">
      <c r="A69" s="20"/>
    </row>
    <row r="70" ht="12.75" customHeight="1">
      <c r="A70" s="20"/>
    </row>
    <row r="71" ht="12.75" customHeight="1">
      <c r="A71" s="20"/>
    </row>
    <row r="72" ht="12.75" customHeight="1">
      <c r="A72" s="20"/>
    </row>
    <row r="73" ht="12.75" customHeight="1">
      <c r="A73" s="20"/>
    </row>
    <row r="74" ht="12.75" customHeight="1">
      <c r="A74" s="20"/>
    </row>
    <row r="75" ht="12.75" customHeight="1">
      <c r="A75" s="20"/>
    </row>
    <row r="76" ht="12.75" customHeight="1">
      <c r="A76" s="20"/>
    </row>
    <row r="77" ht="12.75" customHeight="1">
      <c r="A77" s="20"/>
    </row>
    <row r="78" ht="12.75" customHeight="1">
      <c r="A78" s="20"/>
    </row>
    <row r="79" ht="12.75" customHeight="1">
      <c r="A79" s="20"/>
    </row>
    <row r="80" ht="12.75" customHeight="1">
      <c r="A80" s="20"/>
    </row>
    <row r="81" ht="12.75" customHeight="1">
      <c r="A81" s="20"/>
    </row>
    <row r="82" ht="12.75" customHeight="1">
      <c r="A82" s="20"/>
    </row>
    <row r="83" ht="12.75" customHeight="1">
      <c r="A83" s="20"/>
    </row>
    <row r="84" ht="12.75" customHeight="1">
      <c r="A84" s="20"/>
    </row>
    <row r="85" ht="12.75" customHeight="1">
      <c r="A85" s="20"/>
    </row>
    <row r="86" ht="12.75" customHeight="1">
      <c r="A86" s="20"/>
    </row>
    <row r="87" ht="12.75" customHeight="1">
      <c r="A87" s="20"/>
    </row>
    <row r="88" ht="12.75" customHeight="1">
      <c r="A88" s="20"/>
    </row>
    <row r="89" ht="12.75" customHeight="1">
      <c r="A89" s="20"/>
    </row>
    <row r="90" ht="12.75" customHeight="1">
      <c r="A90" s="20"/>
    </row>
    <row r="91" ht="12.75" customHeight="1">
      <c r="A91" s="20"/>
    </row>
    <row r="92" ht="12.75" customHeight="1">
      <c r="A92" s="20"/>
    </row>
    <row r="93" ht="12.75" customHeight="1">
      <c r="A93" s="20"/>
    </row>
    <row r="94" ht="12.75" customHeight="1">
      <c r="A94" s="20"/>
    </row>
    <row r="95" ht="12.75" customHeight="1">
      <c r="A95" s="20"/>
    </row>
    <row r="96" ht="12.75" customHeight="1">
      <c r="A96" s="20"/>
    </row>
    <row r="97" ht="12.75" customHeight="1">
      <c r="A97" s="20"/>
    </row>
    <row r="98" ht="12.75" customHeight="1">
      <c r="A98" s="20"/>
    </row>
    <row r="99" ht="12.75" customHeight="1">
      <c r="A99" s="20"/>
    </row>
    <row r="100" ht="12.75" customHeight="1">
      <c r="A100" s="20"/>
    </row>
    <row r="101" ht="12.75" customHeight="1">
      <c r="A101" s="20"/>
    </row>
    <row r="102" ht="12.75" customHeight="1">
      <c r="A102" s="20"/>
    </row>
    <row r="103" ht="12.75" customHeight="1">
      <c r="A103" s="20"/>
    </row>
    <row r="104" ht="12.75" customHeight="1">
      <c r="A104" s="20"/>
    </row>
    <row r="105" ht="12.75" customHeight="1">
      <c r="A105" s="20"/>
    </row>
    <row r="106" ht="12.75" customHeight="1">
      <c r="A106" s="20"/>
    </row>
    <row r="107" ht="12.75" customHeight="1">
      <c r="A107" s="20"/>
    </row>
    <row r="108" ht="12.75" customHeight="1">
      <c r="A108" s="20"/>
    </row>
    <row r="109" ht="12.75" customHeight="1">
      <c r="A109" s="20"/>
    </row>
    <row r="110" ht="12.75" customHeight="1">
      <c r="A110" s="20"/>
    </row>
    <row r="111" ht="12.75" customHeight="1">
      <c r="A111" s="20"/>
    </row>
    <row r="112" ht="12.75" customHeight="1">
      <c r="A112" s="20"/>
    </row>
    <row r="113" ht="12.75" customHeight="1">
      <c r="A113" s="20"/>
    </row>
    <row r="114" ht="12.75" customHeight="1">
      <c r="A114" s="20"/>
    </row>
    <row r="115" ht="12.75" customHeight="1">
      <c r="A115" s="20"/>
    </row>
    <row r="116" ht="12.75" customHeight="1">
      <c r="A116" s="20"/>
    </row>
    <row r="117" ht="12.75" customHeight="1">
      <c r="A117" s="20"/>
    </row>
    <row r="118" ht="12.75" customHeight="1">
      <c r="A118" s="20"/>
    </row>
    <row r="119" ht="12.75" customHeight="1">
      <c r="A119" s="20"/>
    </row>
    <row r="120" ht="12.75" customHeight="1">
      <c r="A120" s="20"/>
    </row>
    <row r="121" ht="12.75" customHeight="1">
      <c r="A121" s="20"/>
    </row>
    <row r="122" ht="12.75" customHeight="1">
      <c r="A122" s="20"/>
    </row>
    <row r="123" ht="12.75" customHeight="1">
      <c r="A123" s="20"/>
    </row>
    <row r="124" ht="12.75" customHeight="1">
      <c r="A124" s="20"/>
    </row>
    <row r="125" ht="12.75" customHeight="1">
      <c r="A125" s="20"/>
    </row>
    <row r="126" ht="12.75" customHeight="1">
      <c r="A126" s="20"/>
    </row>
    <row r="127" ht="12.75" customHeight="1">
      <c r="A127" s="20"/>
    </row>
    <row r="128" ht="12.75" customHeight="1">
      <c r="A128" s="20"/>
    </row>
    <row r="129" ht="12.75" customHeight="1">
      <c r="A129" s="20"/>
    </row>
    <row r="130" ht="12.75" customHeight="1">
      <c r="A130" s="20"/>
    </row>
    <row r="131" ht="12.75" customHeight="1">
      <c r="A131" s="20"/>
    </row>
    <row r="132" ht="12.75" customHeight="1">
      <c r="A132" s="20"/>
    </row>
    <row r="133" ht="12.75" customHeight="1">
      <c r="A133" s="20"/>
    </row>
    <row r="134" ht="12.75" customHeight="1">
      <c r="A134" s="20"/>
    </row>
    <row r="135" ht="12.75" customHeight="1">
      <c r="A135" s="20"/>
    </row>
    <row r="136" ht="12.75" customHeight="1">
      <c r="A136" s="20"/>
    </row>
    <row r="137" ht="12.75" customHeight="1">
      <c r="A137" s="20"/>
    </row>
    <row r="138" ht="12.75" customHeight="1">
      <c r="A138" s="20"/>
    </row>
    <row r="139" ht="12.75" customHeight="1">
      <c r="A139" s="20"/>
    </row>
    <row r="140" ht="12.75" customHeight="1">
      <c r="A140" s="20"/>
    </row>
    <row r="141" ht="12.75" customHeight="1">
      <c r="A141" s="20"/>
    </row>
    <row r="142" ht="12.75" customHeight="1">
      <c r="A142" s="20"/>
    </row>
    <row r="143" ht="12.75" customHeight="1">
      <c r="A143" s="20"/>
    </row>
    <row r="144" ht="12.75" customHeight="1">
      <c r="A144" s="20"/>
    </row>
    <row r="145" ht="12.75" customHeight="1">
      <c r="A145" s="20"/>
    </row>
    <row r="146" ht="12.75" customHeight="1">
      <c r="A146" s="20"/>
    </row>
    <row r="147" ht="12.75" customHeight="1">
      <c r="A147" s="20"/>
    </row>
    <row r="148" ht="12.75" customHeight="1">
      <c r="A148" s="20"/>
    </row>
    <row r="149" ht="12.75" customHeight="1">
      <c r="A149" s="20"/>
    </row>
    <row r="150" ht="12.75" customHeight="1">
      <c r="A150" s="20"/>
    </row>
    <row r="151" ht="12.75" customHeight="1">
      <c r="A151" s="20"/>
    </row>
    <row r="152" ht="12.75" customHeight="1">
      <c r="A152" s="20"/>
    </row>
    <row r="153" ht="12.75" customHeight="1">
      <c r="A153" s="20"/>
    </row>
    <row r="154" ht="12.75" customHeight="1">
      <c r="A154" s="20"/>
    </row>
    <row r="155" ht="12.75" customHeight="1">
      <c r="A155" s="20"/>
    </row>
    <row r="156" ht="12.75" customHeight="1">
      <c r="A156" s="20"/>
    </row>
    <row r="157" ht="12.75" customHeight="1">
      <c r="A157" s="20"/>
    </row>
    <row r="158" ht="12.75" customHeight="1">
      <c r="A158" s="20"/>
    </row>
    <row r="159" ht="12.75" customHeight="1">
      <c r="A159" s="20"/>
    </row>
    <row r="160" ht="12.75" customHeight="1">
      <c r="A160" s="20"/>
    </row>
    <row r="161" ht="12.75" customHeight="1">
      <c r="A161" s="20"/>
    </row>
    <row r="162" ht="12.75" customHeight="1">
      <c r="A162" s="20"/>
    </row>
    <row r="163" ht="12.75" customHeight="1">
      <c r="A163" s="20"/>
    </row>
    <row r="164" ht="12.75" customHeight="1">
      <c r="A164" s="20"/>
    </row>
    <row r="165" ht="12.75" customHeight="1">
      <c r="A165" s="20"/>
    </row>
    <row r="166" ht="12.75" customHeight="1">
      <c r="A166" s="20"/>
    </row>
    <row r="167" ht="12.75" customHeight="1">
      <c r="A167" s="20"/>
    </row>
    <row r="168" ht="12.75" customHeight="1">
      <c r="A168" s="20"/>
    </row>
    <row r="169" ht="12.75" customHeight="1">
      <c r="A169" s="20"/>
    </row>
    <row r="170" ht="12.75" customHeight="1">
      <c r="A170" s="20"/>
    </row>
    <row r="171" ht="12.75" customHeight="1">
      <c r="A171" s="20"/>
    </row>
    <row r="172" ht="12.75" customHeight="1">
      <c r="A172" s="20"/>
    </row>
    <row r="173" ht="12.75" customHeight="1">
      <c r="A173" s="20"/>
    </row>
    <row r="174" ht="12.75" customHeight="1">
      <c r="A174" s="20"/>
    </row>
    <row r="175" ht="12.75" customHeight="1">
      <c r="A175" s="20"/>
    </row>
    <row r="176" ht="12.75" customHeight="1">
      <c r="A176" s="20"/>
    </row>
    <row r="177" ht="12.75" customHeight="1">
      <c r="A177" s="20"/>
    </row>
    <row r="178" ht="12.75" customHeight="1">
      <c r="A178" s="20"/>
    </row>
    <row r="179" ht="12.75" customHeight="1">
      <c r="A179" s="20"/>
    </row>
    <row r="180" ht="12.75" customHeight="1">
      <c r="A180" s="20"/>
    </row>
    <row r="181" ht="12.75" customHeight="1">
      <c r="A181" s="20"/>
    </row>
    <row r="182" ht="12.75" customHeight="1">
      <c r="A182" s="20"/>
    </row>
    <row r="183" ht="12.75" customHeight="1">
      <c r="A183" s="20"/>
    </row>
    <row r="184" ht="12.75" customHeight="1">
      <c r="A184" s="20"/>
    </row>
    <row r="185" ht="12.75" customHeight="1">
      <c r="A185" s="20"/>
    </row>
    <row r="186" ht="12.75" customHeight="1">
      <c r="A186" s="20"/>
    </row>
    <row r="187" ht="12.75" customHeight="1">
      <c r="A187" s="20"/>
    </row>
    <row r="188" ht="12.75" customHeight="1">
      <c r="A188" s="20"/>
    </row>
    <row r="189" ht="12.75" customHeight="1">
      <c r="A189" s="20"/>
    </row>
    <row r="190" ht="12.75" customHeight="1">
      <c r="A190" s="20"/>
    </row>
    <row r="191" ht="12.75" customHeight="1">
      <c r="A191" s="20"/>
    </row>
    <row r="192" ht="12.75" customHeight="1">
      <c r="A192" s="20"/>
    </row>
    <row r="193" ht="12.75" customHeight="1">
      <c r="A193" s="20"/>
    </row>
    <row r="194" ht="12.75" customHeight="1">
      <c r="A194" s="20"/>
    </row>
    <row r="195" ht="12.75" customHeight="1">
      <c r="A195" s="20"/>
    </row>
    <row r="196" ht="12.75" customHeight="1">
      <c r="A196" s="20"/>
    </row>
    <row r="197" ht="12.75" customHeight="1">
      <c r="A197" s="20"/>
    </row>
    <row r="198" ht="12.75" customHeight="1">
      <c r="A198" s="20"/>
    </row>
    <row r="199" ht="12.75" customHeight="1">
      <c r="A199" s="20"/>
    </row>
    <row r="200" ht="12.75" customHeight="1">
      <c r="A200" s="20"/>
    </row>
    <row r="201" ht="12.75" customHeight="1">
      <c r="A201" s="20"/>
    </row>
    <row r="202" ht="12.75" customHeight="1">
      <c r="A202" s="20"/>
    </row>
    <row r="203" ht="12.75" customHeight="1">
      <c r="A203" s="20"/>
    </row>
    <row r="204" ht="12.75" customHeight="1">
      <c r="A204" s="20"/>
    </row>
    <row r="205" ht="12.75" customHeight="1">
      <c r="A205" s="20"/>
    </row>
    <row r="206" ht="12.75" customHeight="1">
      <c r="A206" s="20"/>
    </row>
    <row r="207" ht="12.75" customHeight="1">
      <c r="A207" s="20"/>
    </row>
    <row r="208" ht="12.75" customHeight="1">
      <c r="A208" s="20"/>
    </row>
    <row r="209" ht="12.75" customHeight="1">
      <c r="A209" s="20"/>
    </row>
    <row r="210" ht="12.75" customHeight="1">
      <c r="A210" s="20"/>
    </row>
    <row r="211" ht="12.75" customHeight="1">
      <c r="A211" s="20"/>
    </row>
    <row r="212" ht="12.75" customHeight="1">
      <c r="A212" s="20"/>
    </row>
    <row r="213" ht="12.75" customHeight="1">
      <c r="A213" s="20"/>
    </row>
    <row r="214" ht="12.75" customHeight="1">
      <c r="A214" s="20"/>
    </row>
    <row r="215" ht="12.75" customHeight="1">
      <c r="A215" s="20"/>
    </row>
    <row r="216" ht="12.75" customHeight="1">
      <c r="A216" s="20"/>
    </row>
    <row r="217" ht="12.75" customHeight="1">
      <c r="A217" s="20"/>
    </row>
    <row r="218" ht="12.75" customHeight="1">
      <c r="A218" s="20"/>
    </row>
    <row r="219" ht="12.75" customHeight="1">
      <c r="A219" s="20"/>
    </row>
    <row r="220" ht="12.75" customHeight="1">
      <c r="A220" s="20"/>
    </row>
    <row r="221" ht="12.75" customHeight="1">
      <c r="A221" s="20"/>
    </row>
    <row r="222" ht="12.75" customHeight="1">
      <c r="A222" s="20"/>
    </row>
    <row r="223" ht="12.75" customHeight="1">
      <c r="A223" s="20"/>
    </row>
    <row r="224" ht="12.75" customHeight="1">
      <c r="A224" s="20"/>
    </row>
    <row r="225" ht="12.75" customHeight="1">
      <c r="A225" s="20"/>
    </row>
    <row r="226" ht="12.75" customHeight="1">
      <c r="A226" s="20"/>
    </row>
    <row r="227" ht="12.75" customHeight="1">
      <c r="A227" s="20"/>
    </row>
    <row r="228" ht="12.75" customHeight="1">
      <c r="A228" s="20"/>
    </row>
    <row r="229" ht="12.75" customHeight="1">
      <c r="A229" s="20"/>
    </row>
    <row r="230" ht="12.75" customHeight="1">
      <c r="A230" s="20"/>
    </row>
    <row r="231" ht="12.75" customHeight="1">
      <c r="A231" s="20"/>
    </row>
    <row r="232" ht="12.75" customHeight="1">
      <c r="A232" s="20"/>
    </row>
    <row r="233" ht="12.75" customHeight="1">
      <c r="A233" s="20"/>
    </row>
    <row r="234" ht="12.75" customHeight="1">
      <c r="A234" s="20"/>
    </row>
    <row r="235" ht="12.75" customHeight="1">
      <c r="A235" s="20"/>
    </row>
    <row r="236" ht="12.75" customHeight="1">
      <c r="A236" s="20"/>
    </row>
    <row r="237" ht="12.75" customHeight="1">
      <c r="A237" s="20"/>
    </row>
    <row r="238" ht="12.75" customHeight="1">
      <c r="A238" s="20"/>
    </row>
    <row r="239" ht="12.75" customHeight="1">
      <c r="A239" s="20"/>
    </row>
    <row r="240" ht="12.75" customHeight="1">
      <c r="A240" s="20"/>
    </row>
    <row r="241" ht="12.75" customHeight="1">
      <c r="A241" s="20"/>
    </row>
    <row r="242" ht="12.75" customHeight="1">
      <c r="A242" s="20"/>
    </row>
    <row r="243" ht="12.75" customHeight="1">
      <c r="A243" s="20"/>
    </row>
    <row r="244" ht="12.75" customHeight="1">
      <c r="A244" s="20"/>
    </row>
    <row r="245" ht="12.75" customHeight="1">
      <c r="A245" s="20"/>
    </row>
    <row r="246" ht="12.75" customHeight="1">
      <c r="A246" s="20"/>
    </row>
    <row r="247" ht="12.75" customHeight="1">
      <c r="A247" s="20"/>
    </row>
    <row r="248" ht="12.75" customHeight="1">
      <c r="A248" s="20"/>
    </row>
    <row r="249" ht="12.75" customHeight="1">
      <c r="A249" s="20"/>
    </row>
    <row r="250" ht="12.75" customHeight="1">
      <c r="A250" s="20"/>
    </row>
    <row r="251" ht="12.75" customHeight="1">
      <c r="A251" s="20"/>
    </row>
    <row r="252" ht="12.75" customHeight="1">
      <c r="A252" s="20"/>
    </row>
    <row r="253" ht="12.75" customHeight="1">
      <c r="A253" s="20"/>
    </row>
    <row r="254" ht="12.75" customHeight="1">
      <c r="A254" s="20"/>
    </row>
    <row r="255" ht="12.75" customHeight="1">
      <c r="A255" s="20"/>
    </row>
    <row r="256" ht="12.75" customHeight="1">
      <c r="A256" s="20"/>
    </row>
    <row r="257" ht="12.75" customHeight="1">
      <c r="A257" s="20"/>
    </row>
    <row r="258" ht="12.75" customHeight="1">
      <c r="A258" s="20"/>
    </row>
    <row r="259" ht="12.75" customHeight="1">
      <c r="A259" s="20"/>
    </row>
    <row r="260" ht="12.75" customHeight="1">
      <c r="A260" s="20"/>
    </row>
    <row r="261" ht="12.75" customHeight="1">
      <c r="A261" s="20"/>
    </row>
    <row r="262" ht="12.75" customHeight="1">
      <c r="A262" s="20"/>
    </row>
    <row r="263" ht="12.75" customHeight="1">
      <c r="A263" s="20"/>
    </row>
    <row r="264" ht="12.75" customHeight="1">
      <c r="A264" s="20"/>
    </row>
    <row r="265" ht="12.75" customHeight="1">
      <c r="A265" s="20"/>
    </row>
    <row r="266" ht="12.75" customHeight="1">
      <c r="A266" s="20"/>
    </row>
    <row r="267" ht="12.75" customHeight="1">
      <c r="A267" s="20"/>
    </row>
    <row r="268" ht="12.75" customHeight="1">
      <c r="A268" s="20"/>
    </row>
    <row r="269" ht="12.75" customHeight="1">
      <c r="A269" s="20"/>
    </row>
    <row r="270" ht="12.75" customHeight="1">
      <c r="A270" s="20"/>
    </row>
    <row r="271" ht="12.75" customHeight="1">
      <c r="A271" s="20"/>
    </row>
    <row r="272" ht="12.75" customHeight="1">
      <c r="A272" s="20"/>
    </row>
    <row r="273" ht="12.75" customHeight="1">
      <c r="A273" s="20"/>
    </row>
    <row r="274" ht="12.75" customHeight="1">
      <c r="A274" s="20"/>
    </row>
    <row r="275" ht="12.75" customHeight="1">
      <c r="A275" s="20"/>
    </row>
    <row r="276" ht="12.75" customHeight="1">
      <c r="A276" s="20"/>
    </row>
    <row r="277" ht="12.75" customHeight="1">
      <c r="A277" s="20"/>
    </row>
    <row r="278" ht="12.75" customHeight="1">
      <c r="A278" s="20"/>
    </row>
    <row r="279" ht="12.75" customHeight="1">
      <c r="A279" s="20"/>
    </row>
    <row r="280" ht="12.75" customHeight="1">
      <c r="A280" s="20"/>
    </row>
    <row r="281" ht="12.75" customHeight="1">
      <c r="A281" s="20"/>
    </row>
    <row r="282" ht="12.75" customHeight="1">
      <c r="A282" s="20"/>
    </row>
    <row r="283" ht="12.75" customHeight="1">
      <c r="A283" s="20"/>
    </row>
    <row r="284" ht="12.75" customHeight="1">
      <c r="A284" s="20"/>
    </row>
    <row r="285" ht="12.75" customHeight="1">
      <c r="A285" s="20"/>
    </row>
    <row r="286" ht="12.75" customHeight="1">
      <c r="A286" s="20"/>
    </row>
    <row r="287" ht="12.75" customHeight="1">
      <c r="A287" s="20"/>
    </row>
    <row r="288" ht="12.75" customHeight="1">
      <c r="A288" s="20"/>
    </row>
    <row r="289" ht="12.75" customHeight="1">
      <c r="A289" s="20"/>
    </row>
    <row r="290" ht="12.75" customHeight="1">
      <c r="A290" s="20"/>
    </row>
    <row r="291" ht="12.75" customHeight="1">
      <c r="A291" s="20"/>
    </row>
    <row r="292" ht="12.75" customHeight="1">
      <c r="A292" s="20"/>
    </row>
    <row r="293" ht="12.75" customHeight="1">
      <c r="A293" s="20"/>
    </row>
    <row r="294" ht="12.75" customHeight="1">
      <c r="A294" s="20"/>
    </row>
    <row r="295" ht="12.75" customHeight="1">
      <c r="A295" s="20"/>
    </row>
    <row r="296" ht="12.75" customHeight="1">
      <c r="A296" s="20"/>
    </row>
    <row r="297" ht="12.75" customHeight="1">
      <c r="A297" s="20"/>
    </row>
    <row r="298" ht="12.75" customHeight="1">
      <c r="A298" s="20"/>
    </row>
    <row r="299" ht="12.75" customHeight="1">
      <c r="A299" s="20"/>
    </row>
    <row r="300" ht="12.75" customHeight="1">
      <c r="A300" s="20"/>
    </row>
    <row r="301" ht="12.75" customHeight="1">
      <c r="A301" s="20"/>
    </row>
    <row r="302" ht="12.75" customHeight="1">
      <c r="A302" s="20"/>
    </row>
    <row r="303" ht="12.75" customHeight="1">
      <c r="A303" s="20"/>
    </row>
    <row r="304" ht="12.75" customHeight="1">
      <c r="A304" s="20"/>
    </row>
    <row r="305" ht="12.75" customHeight="1">
      <c r="A305" s="20"/>
    </row>
    <row r="306" ht="12.75" customHeight="1">
      <c r="A306" s="20"/>
    </row>
    <row r="307" ht="12.75" customHeight="1">
      <c r="A307" s="20"/>
    </row>
    <row r="308" ht="12.75" customHeight="1">
      <c r="A308" s="20"/>
    </row>
    <row r="309" ht="12.75" customHeight="1">
      <c r="A309" s="20"/>
    </row>
    <row r="310" ht="12.75" customHeight="1">
      <c r="A310" s="20"/>
    </row>
    <row r="311" ht="12.75" customHeight="1">
      <c r="A311" s="20"/>
    </row>
    <row r="312" ht="12.75" customHeight="1">
      <c r="A312" s="20"/>
    </row>
    <row r="313" ht="12.75" customHeight="1">
      <c r="A313" s="20"/>
    </row>
    <row r="314" ht="12.75" customHeight="1">
      <c r="A314" s="20"/>
    </row>
    <row r="315" ht="12.75" customHeight="1">
      <c r="A315" s="20"/>
    </row>
    <row r="316" ht="12.75" customHeight="1">
      <c r="A316" s="20"/>
    </row>
    <row r="317" ht="12.75" customHeight="1">
      <c r="A317" s="20"/>
    </row>
    <row r="318" ht="12.75" customHeight="1">
      <c r="A318" s="20"/>
    </row>
    <row r="319" ht="12.75" customHeight="1">
      <c r="A319" s="20"/>
    </row>
    <row r="320" ht="12.75" customHeight="1">
      <c r="A320" s="20"/>
    </row>
    <row r="321" ht="12.75" customHeight="1">
      <c r="A321" s="20"/>
    </row>
    <row r="322" ht="12.75" customHeight="1">
      <c r="A322" s="20"/>
    </row>
    <row r="323" ht="12.75" customHeight="1">
      <c r="A323" s="20"/>
    </row>
    <row r="324" ht="12.75" customHeight="1">
      <c r="A324" s="20"/>
    </row>
    <row r="325" ht="12.75" customHeight="1">
      <c r="A325" s="20"/>
    </row>
    <row r="326" ht="12.75" customHeight="1">
      <c r="A326" s="20"/>
    </row>
    <row r="327" ht="12.75" customHeight="1">
      <c r="A327" s="20"/>
    </row>
    <row r="328" ht="12.75" customHeight="1">
      <c r="A328" s="20"/>
    </row>
    <row r="329" ht="12.75" customHeight="1">
      <c r="A329" s="20"/>
    </row>
    <row r="330" ht="12.75" customHeight="1">
      <c r="A330" s="20"/>
    </row>
    <row r="331" ht="12.75" customHeight="1">
      <c r="A331" s="20"/>
    </row>
    <row r="332" ht="12.75" customHeight="1">
      <c r="A332" s="20"/>
    </row>
    <row r="333" ht="12.75" customHeight="1">
      <c r="A333" s="20"/>
    </row>
    <row r="334" ht="12.75" customHeight="1">
      <c r="A334" s="20"/>
    </row>
    <row r="335" ht="12.75" customHeight="1">
      <c r="A335" s="20"/>
    </row>
    <row r="336" ht="12.75" customHeight="1">
      <c r="A336" s="20"/>
    </row>
    <row r="337" ht="12.75" customHeight="1">
      <c r="A337" s="20"/>
    </row>
    <row r="338" ht="12.75" customHeight="1">
      <c r="A338" s="20"/>
    </row>
    <row r="339" ht="12.75" customHeight="1">
      <c r="A339" s="20"/>
    </row>
    <row r="340" ht="12.75" customHeight="1">
      <c r="A340" s="20"/>
    </row>
    <row r="341" ht="12.75" customHeight="1">
      <c r="A341" s="20"/>
    </row>
    <row r="342" ht="12.75" customHeight="1">
      <c r="A342" s="20"/>
    </row>
    <row r="343" ht="12.75" customHeight="1">
      <c r="A343" s="20"/>
    </row>
    <row r="344" ht="12.75" customHeight="1">
      <c r="A344" s="20"/>
    </row>
    <row r="345" ht="12.75" customHeight="1">
      <c r="A345" s="20"/>
    </row>
    <row r="346" ht="12.75" customHeight="1">
      <c r="A346" s="20"/>
    </row>
    <row r="347" ht="12.75" customHeight="1">
      <c r="A347" s="20"/>
    </row>
    <row r="348" ht="12.75" customHeight="1">
      <c r="A348" s="20"/>
    </row>
    <row r="349" ht="12.75" customHeight="1">
      <c r="A349" s="20"/>
    </row>
    <row r="350" ht="12.75" customHeight="1">
      <c r="A350" s="20"/>
    </row>
    <row r="351" ht="12.75" customHeight="1">
      <c r="A351" s="20"/>
    </row>
    <row r="352" ht="12.75" customHeight="1">
      <c r="A352" s="20"/>
    </row>
    <row r="353" ht="12.75" customHeight="1">
      <c r="A353" s="20"/>
    </row>
    <row r="354" ht="12.75" customHeight="1">
      <c r="A354" s="20"/>
    </row>
    <row r="355" ht="12.75" customHeight="1">
      <c r="A355" s="20"/>
    </row>
    <row r="356" ht="12.75" customHeight="1">
      <c r="A356" s="20"/>
    </row>
    <row r="357" ht="12.75" customHeight="1">
      <c r="A357" s="20"/>
    </row>
    <row r="358" ht="12.75" customHeight="1">
      <c r="A358" s="20"/>
    </row>
    <row r="359" ht="12.75" customHeight="1">
      <c r="A359" s="20"/>
    </row>
    <row r="360" ht="12.75" customHeight="1">
      <c r="A360" s="20"/>
    </row>
    <row r="361" ht="12.75" customHeight="1">
      <c r="A361" s="20"/>
    </row>
    <row r="362" ht="12.75" customHeight="1">
      <c r="A362" s="20"/>
    </row>
    <row r="363" ht="12.75" customHeight="1">
      <c r="A363" s="20"/>
    </row>
    <row r="364" ht="12.75" customHeight="1">
      <c r="A364" s="20"/>
    </row>
    <row r="365" ht="12.75" customHeight="1">
      <c r="A365" s="20"/>
    </row>
    <row r="366" ht="12.75" customHeight="1">
      <c r="A366" s="20"/>
    </row>
    <row r="367" ht="12.75" customHeight="1">
      <c r="A367" s="20"/>
    </row>
    <row r="368" ht="12.75" customHeight="1">
      <c r="A368" s="20"/>
    </row>
    <row r="369" ht="12.75" customHeight="1">
      <c r="A369" s="20"/>
    </row>
    <row r="370" ht="12.75" customHeight="1">
      <c r="A370" s="20"/>
    </row>
    <row r="371" ht="12.75" customHeight="1">
      <c r="A371" s="20"/>
    </row>
    <row r="372" ht="12.75" customHeight="1">
      <c r="A372" s="20"/>
    </row>
    <row r="373" ht="12.75" customHeight="1">
      <c r="A373" s="20"/>
    </row>
    <row r="374" ht="12.75" customHeight="1">
      <c r="A374" s="20"/>
    </row>
    <row r="375" ht="12.75" customHeight="1">
      <c r="A375" s="20"/>
    </row>
    <row r="376" ht="12.75" customHeight="1">
      <c r="A376" s="20"/>
    </row>
    <row r="377" ht="12.75" customHeight="1">
      <c r="A377" s="20"/>
    </row>
    <row r="378" ht="12.75" customHeight="1">
      <c r="A378" s="20"/>
    </row>
    <row r="379" ht="12.75" customHeight="1">
      <c r="A379" s="20"/>
    </row>
    <row r="380" ht="12.75" customHeight="1">
      <c r="A380" s="20"/>
    </row>
    <row r="381" ht="12.75" customHeight="1">
      <c r="A381" s="20"/>
    </row>
    <row r="382" ht="12.75" customHeight="1">
      <c r="A382" s="20"/>
    </row>
    <row r="383" ht="12.75" customHeight="1">
      <c r="A383" s="20"/>
    </row>
    <row r="384" ht="12.75" customHeight="1">
      <c r="A384" s="20"/>
    </row>
    <row r="385" ht="12.75" customHeight="1">
      <c r="A385" s="20"/>
    </row>
    <row r="386" ht="12.75" customHeight="1">
      <c r="A386" s="20"/>
    </row>
    <row r="387" ht="12.75" customHeight="1">
      <c r="A387" s="20"/>
    </row>
    <row r="388" ht="12.75" customHeight="1">
      <c r="A388" s="20"/>
    </row>
    <row r="389" ht="12.75" customHeight="1">
      <c r="A389" s="20"/>
    </row>
    <row r="390" ht="12.75" customHeight="1">
      <c r="A390" s="20"/>
    </row>
    <row r="391" ht="12.75" customHeight="1">
      <c r="A391" s="20"/>
    </row>
    <row r="392" ht="12.75" customHeight="1">
      <c r="A392" s="20"/>
    </row>
    <row r="393" ht="12.75" customHeight="1">
      <c r="A393" s="20"/>
    </row>
    <row r="394" ht="12.75" customHeight="1">
      <c r="A394" s="20"/>
    </row>
    <row r="395" ht="12.75" customHeight="1">
      <c r="A395" s="20"/>
    </row>
    <row r="396" ht="12.75" customHeight="1">
      <c r="A396" s="20"/>
    </row>
    <row r="397" ht="12.75" customHeight="1">
      <c r="A397" s="20"/>
    </row>
    <row r="398" ht="12.75" customHeight="1">
      <c r="A398" s="20"/>
    </row>
    <row r="399" ht="12.75" customHeight="1">
      <c r="A399" s="20"/>
    </row>
    <row r="400" ht="12.75" customHeight="1">
      <c r="A400" s="20"/>
    </row>
    <row r="401" ht="12.75" customHeight="1">
      <c r="A401" s="20"/>
    </row>
    <row r="402" ht="12.75" customHeight="1">
      <c r="A402" s="20"/>
    </row>
    <row r="403" ht="12.75" customHeight="1">
      <c r="A403" s="20"/>
    </row>
    <row r="404" ht="12.75" customHeight="1">
      <c r="A404" s="20"/>
    </row>
    <row r="405" ht="12.75" customHeight="1">
      <c r="A405" s="20"/>
    </row>
    <row r="406" ht="12.75" customHeight="1">
      <c r="A406" s="20"/>
    </row>
    <row r="407" ht="12.75" customHeight="1">
      <c r="A407" s="20"/>
    </row>
    <row r="408" ht="12.75" customHeight="1">
      <c r="A408" s="20"/>
    </row>
    <row r="409" ht="12.75" customHeight="1">
      <c r="A409" s="20"/>
    </row>
    <row r="410" ht="12.75" customHeight="1">
      <c r="A410" s="20"/>
    </row>
    <row r="411" ht="12.75" customHeight="1">
      <c r="A411" s="20"/>
    </row>
    <row r="412" ht="12.75" customHeight="1">
      <c r="A412" s="20"/>
    </row>
    <row r="413" ht="12.75" customHeight="1">
      <c r="A413" s="20"/>
    </row>
    <row r="414" ht="12.75" customHeight="1">
      <c r="A414" s="20"/>
    </row>
    <row r="415" ht="12.75" customHeight="1">
      <c r="A415" s="20"/>
    </row>
    <row r="416" ht="12.75" customHeight="1">
      <c r="A416" s="20"/>
    </row>
    <row r="417" ht="12.75" customHeight="1">
      <c r="A417" s="20"/>
    </row>
    <row r="418" ht="12.75" customHeight="1">
      <c r="A418" s="20"/>
    </row>
    <row r="419" ht="12.75" customHeight="1">
      <c r="A419" s="20"/>
    </row>
    <row r="420" ht="12.75" customHeight="1">
      <c r="A420" s="20"/>
    </row>
    <row r="421" ht="12.75" customHeight="1">
      <c r="A421" s="20"/>
    </row>
    <row r="422" ht="12.75" customHeight="1">
      <c r="A422" s="20"/>
    </row>
    <row r="423" ht="12.75" customHeight="1">
      <c r="A423" s="20"/>
    </row>
    <row r="424" ht="12.75" customHeight="1">
      <c r="A424" s="20"/>
    </row>
    <row r="425" ht="12.75" customHeight="1">
      <c r="A425" s="20"/>
    </row>
    <row r="426" ht="12.75" customHeight="1">
      <c r="A426" s="20"/>
    </row>
    <row r="427" ht="12.75" customHeight="1">
      <c r="A427" s="20"/>
    </row>
    <row r="428" ht="12.75" customHeight="1">
      <c r="A428" s="20"/>
    </row>
    <row r="429" ht="12.75" customHeight="1">
      <c r="A429" s="20"/>
    </row>
    <row r="430" ht="12.75" customHeight="1">
      <c r="A430" s="20"/>
    </row>
    <row r="431" ht="12.75" customHeight="1">
      <c r="A431" s="20"/>
    </row>
    <row r="432" ht="12.75" customHeight="1">
      <c r="A432" s="20"/>
    </row>
    <row r="433" ht="12.75" customHeight="1">
      <c r="A433" s="20"/>
    </row>
    <row r="434" ht="12.75" customHeight="1">
      <c r="A434" s="20"/>
    </row>
    <row r="435" ht="12.75" customHeight="1">
      <c r="A435" s="20"/>
    </row>
    <row r="436" ht="12.75" customHeight="1">
      <c r="A436" s="20"/>
    </row>
    <row r="437" ht="12.75" customHeight="1">
      <c r="A437" s="20"/>
    </row>
    <row r="438" ht="12.75" customHeight="1">
      <c r="A438" s="20"/>
    </row>
    <row r="439" ht="12.75" customHeight="1">
      <c r="A439" s="20"/>
    </row>
    <row r="440" ht="12.75" customHeight="1">
      <c r="A440" s="20"/>
    </row>
    <row r="441" ht="12.75" customHeight="1">
      <c r="A441" s="20"/>
    </row>
    <row r="442" ht="12.75" customHeight="1">
      <c r="A442" s="20"/>
    </row>
    <row r="443" ht="12.75" customHeight="1">
      <c r="A443" s="20"/>
    </row>
    <row r="444" ht="12.75" customHeight="1">
      <c r="A444" s="20"/>
    </row>
    <row r="445" ht="12.75" customHeight="1">
      <c r="A445" s="20"/>
    </row>
    <row r="446" ht="12.75" customHeight="1">
      <c r="A446" s="20"/>
    </row>
    <row r="447" ht="12.75" customHeight="1">
      <c r="A447" s="20"/>
    </row>
    <row r="448" ht="12.75" customHeight="1">
      <c r="A448" s="20"/>
    </row>
    <row r="449" ht="12.75" customHeight="1">
      <c r="A449" s="20"/>
    </row>
    <row r="450" ht="12.75" customHeight="1">
      <c r="A450" s="20"/>
    </row>
    <row r="451" ht="12.75" customHeight="1">
      <c r="A451" s="20"/>
    </row>
    <row r="452" ht="12.75" customHeight="1">
      <c r="A452" s="20"/>
    </row>
    <row r="453" ht="12.75" customHeight="1">
      <c r="A453" s="20"/>
    </row>
    <row r="454" ht="12.75" customHeight="1">
      <c r="A454" s="20"/>
    </row>
    <row r="455" ht="12.75" customHeight="1">
      <c r="A455" s="20"/>
    </row>
    <row r="456" ht="12.75" customHeight="1">
      <c r="A456" s="20"/>
    </row>
    <row r="457" ht="12.75" customHeight="1">
      <c r="A457" s="20"/>
    </row>
    <row r="458" ht="12.75" customHeight="1">
      <c r="A458" s="20"/>
    </row>
    <row r="459" ht="12.75" customHeight="1">
      <c r="A459" s="20"/>
    </row>
    <row r="460" ht="12.75" customHeight="1">
      <c r="A460" s="20"/>
    </row>
    <row r="461" ht="12.75" customHeight="1">
      <c r="A461" s="20"/>
    </row>
    <row r="462" ht="12.75" customHeight="1">
      <c r="A462" s="20"/>
    </row>
    <row r="463" ht="12.75" customHeight="1">
      <c r="A463" s="20"/>
    </row>
    <row r="464" ht="12.75" customHeight="1">
      <c r="A464" s="20"/>
    </row>
    <row r="465" ht="12.75" customHeight="1">
      <c r="A465" s="20"/>
    </row>
    <row r="466" ht="12.75" customHeight="1">
      <c r="A466" s="20"/>
    </row>
    <row r="467" ht="12.75" customHeight="1">
      <c r="A467" s="20"/>
    </row>
    <row r="468" ht="12.75" customHeight="1">
      <c r="A468" s="20"/>
    </row>
    <row r="469" ht="12.75" customHeight="1">
      <c r="A469" s="20"/>
    </row>
    <row r="470" ht="12.75" customHeight="1">
      <c r="A470" s="20"/>
    </row>
    <row r="471" ht="12.75" customHeight="1">
      <c r="A471" s="20"/>
    </row>
    <row r="472" ht="12.75" customHeight="1">
      <c r="A472" s="20"/>
    </row>
    <row r="473" ht="12.75" customHeight="1">
      <c r="A473" s="20"/>
    </row>
    <row r="474" ht="12.75" customHeight="1">
      <c r="A474" s="20"/>
    </row>
    <row r="475" ht="12.75" customHeight="1">
      <c r="A475" s="20"/>
    </row>
    <row r="476" ht="12.75" customHeight="1">
      <c r="A476" s="20"/>
    </row>
    <row r="477" ht="12.75" customHeight="1">
      <c r="A477" s="20"/>
    </row>
    <row r="478" ht="12.75" customHeight="1">
      <c r="A478" s="20"/>
    </row>
    <row r="479" ht="12.75" customHeight="1">
      <c r="A479" s="20"/>
    </row>
    <row r="480" ht="12.75" customHeight="1">
      <c r="A480" s="20"/>
    </row>
    <row r="481" ht="12.75" customHeight="1">
      <c r="A481" s="20"/>
    </row>
    <row r="482" ht="12.75" customHeight="1">
      <c r="A482" s="20"/>
    </row>
    <row r="483" ht="12.75" customHeight="1">
      <c r="A483" s="20"/>
    </row>
    <row r="484" ht="12.75" customHeight="1">
      <c r="A484" s="20"/>
    </row>
    <row r="485" ht="12.75" customHeight="1">
      <c r="A485" s="20"/>
    </row>
    <row r="486" ht="12.75" customHeight="1">
      <c r="A486" s="20"/>
    </row>
    <row r="487" ht="12.75" customHeight="1">
      <c r="A487" s="20"/>
    </row>
    <row r="488" ht="12.75" customHeight="1">
      <c r="A488" s="20"/>
    </row>
    <row r="489" ht="12.75" customHeight="1">
      <c r="A489" s="20"/>
    </row>
    <row r="490" ht="12.75" customHeight="1">
      <c r="A490" s="20"/>
    </row>
    <row r="491" ht="12.75" customHeight="1">
      <c r="A491" s="20"/>
    </row>
    <row r="492" ht="12.75" customHeight="1">
      <c r="A492" s="20"/>
    </row>
    <row r="493" ht="12.75" customHeight="1">
      <c r="A493" s="20"/>
    </row>
    <row r="494" ht="12.75" customHeight="1">
      <c r="A494" s="20"/>
    </row>
    <row r="495" ht="12.75" customHeight="1">
      <c r="A495" s="20"/>
    </row>
    <row r="496" ht="12.75" customHeight="1">
      <c r="A496" s="20"/>
    </row>
    <row r="497" ht="12.75" customHeight="1">
      <c r="A497" s="20"/>
    </row>
    <row r="498" ht="12.75" customHeight="1">
      <c r="A498" s="20"/>
    </row>
    <row r="499" ht="12.75" customHeight="1">
      <c r="A499" s="20"/>
    </row>
    <row r="500" ht="12.75" customHeight="1">
      <c r="A500" s="20"/>
    </row>
    <row r="501" ht="12.75" customHeight="1">
      <c r="A501" s="20"/>
    </row>
    <row r="502" ht="12.75" customHeight="1">
      <c r="A502" s="20"/>
    </row>
    <row r="503" ht="12.75" customHeight="1">
      <c r="A503" s="20"/>
    </row>
    <row r="504" ht="12.75" customHeight="1">
      <c r="A504" s="20"/>
    </row>
    <row r="505" ht="12.75" customHeight="1">
      <c r="A505" s="20"/>
    </row>
    <row r="506" ht="12.75" customHeight="1">
      <c r="A506" s="20"/>
    </row>
    <row r="507" ht="12.75" customHeight="1">
      <c r="A507" s="20"/>
    </row>
    <row r="508" ht="12.75" customHeight="1">
      <c r="A508" s="20"/>
    </row>
    <row r="509" ht="12.75" customHeight="1">
      <c r="A509" s="20"/>
    </row>
    <row r="510" ht="12.75" customHeight="1">
      <c r="A510" s="20"/>
    </row>
    <row r="511" ht="12.75" customHeight="1">
      <c r="A511" s="20"/>
    </row>
    <row r="512" ht="12.75" customHeight="1">
      <c r="A512" s="20"/>
    </row>
    <row r="513" ht="12.75" customHeight="1">
      <c r="A513" s="20"/>
    </row>
    <row r="514" ht="12.75" customHeight="1">
      <c r="A514" s="20"/>
    </row>
    <row r="515" ht="12.75" customHeight="1">
      <c r="A515" s="20"/>
    </row>
    <row r="516" ht="12.75" customHeight="1">
      <c r="A516" s="20"/>
    </row>
    <row r="517" ht="12.75" customHeight="1">
      <c r="A517" s="20"/>
    </row>
    <row r="518" ht="12.75" customHeight="1">
      <c r="A518" s="20"/>
    </row>
    <row r="519" ht="12.75" customHeight="1">
      <c r="A519" s="20"/>
    </row>
    <row r="520" ht="12.75" customHeight="1">
      <c r="A520" s="20"/>
    </row>
    <row r="521" ht="12.75" customHeight="1">
      <c r="A521" s="20"/>
    </row>
    <row r="522" ht="12.75" customHeight="1">
      <c r="A522" s="20"/>
    </row>
    <row r="523" ht="12.75" customHeight="1">
      <c r="A523" s="20"/>
    </row>
    <row r="524" ht="12.75" customHeight="1">
      <c r="A524" s="20"/>
    </row>
    <row r="525" ht="12.75" customHeight="1">
      <c r="A525" s="20"/>
    </row>
    <row r="526" ht="12.75" customHeight="1">
      <c r="A526" s="20"/>
    </row>
    <row r="527" ht="12.75" customHeight="1">
      <c r="A527" s="20"/>
    </row>
    <row r="528" ht="12.75" customHeight="1">
      <c r="A528" s="20"/>
    </row>
    <row r="529" ht="12.75" customHeight="1">
      <c r="A529" s="20"/>
    </row>
    <row r="530" ht="12.75" customHeight="1">
      <c r="A530" s="20"/>
    </row>
    <row r="531" ht="12.75" customHeight="1">
      <c r="A531" s="20"/>
    </row>
    <row r="532" ht="12.75" customHeight="1">
      <c r="A532" s="20"/>
    </row>
    <row r="533" ht="12.75" customHeight="1">
      <c r="A533" s="20"/>
    </row>
    <row r="534" ht="12.75" customHeight="1">
      <c r="A534" s="20"/>
    </row>
    <row r="535" ht="12.75" customHeight="1">
      <c r="A535" s="20"/>
    </row>
    <row r="536" ht="12.75" customHeight="1">
      <c r="A536" s="20"/>
    </row>
    <row r="537" ht="12.75" customHeight="1">
      <c r="A537" s="20"/>
    </row>
    <row r="538" ht="12.75" customHeight="1">
      <c r="A538" s="20"/>
    </row>
    <row r="539" ht="12.75" customHeight="1">
      <c r="A539" s="20"/>
    </row>
    <row r="540" ht="12.75" customHeight="1">
      <c r="A540" s="20"/>
    </row>
    <row r="541" ht="12.75" customHeight="1">
      <c r="A541" s="20"/>
    </row>
    <row r="542" ht="12.75" customHeight="1">
      <c r="A542" s="20"/>
    </row>
    <row r="543" ht="12.75" customHeight="1">
      <c r="A543" s="20"/>
    </row>
    <row r="544" ht="12.75" customHeight="1">
      <c r="A544" s="20"/>
    </row>
    <row r="545" ht="12.75" customHeight="1">
      <c r="A545" s="20"/>
    </row>
    <row r="546" ht="12.75" customHeight="1">
      <c r="A546" s="20"/>
    </row>
    <row r="547" ht="12.75" customHeight="1">
      <c r="A547" s="20"/>
    </row>
    <row r="548" ht="12.75" customHeight="1">
      <c r="A548" s="20"/>
    </row>
    <row r="549" ht="12.75" customHeight="1">
      <c r="A549" s="20"/>
    </row>
    <row r="550" ht="12.75" customHeight="1">
      <c r="A550" s="20"/>
    </row>
    <row r="551" ht="12.75" customHeight="1">
      <c r="A551" s="20"/>
    </row>
    <row r="552" ht="12.75" customHeight="1">
      <c r="A552" s="20"/>
    </row>
    <row r="553" ht="12.75" customHeight="1">
      <c r="A553" s="20"/>
    </row>
    <row r="554" ht="12.75" customHeight="1">
      <c r="A554" s="20"/>
    </row>
    <row r="555" ht="12.75" customHeight="1">
      <c r="A555" s="20"/>
    </row>
    <row r="556" ht="12.75" customHeight="1">
      <c r="A556" s="20"/>
    </row>
    <row r="557" ht="12.75" customHeight="1">
      <c r="A557" s="20"/>
    </row>
    <row r="558" ht="12.75" customHeight="1">
      <c r="A558" s="20"/>
    </row>
    <row r="559" ht="12.75" customHeight="1">
      <c r="A559" s="20"/>
    </row>
    <row r="560" ht="12.75" customHeight="1">
      <c r="A560" s="20"/>
    </row>
    <row r="561" ht="12.75" customHeight="1">
      <c r="A561" s="20"/>
    </row>
    <row r="562" ht="12.75" customHeight="1">
      <c r="A562" s="20"/>
    </row>
    <row r="563" ht="12.75" customHeight="1">
      <c r="A563" s="20"/>
    </row>
    <row r="564" ht="12.75" customHeight="1">
      <c r="A564" s="20"/>
    </row>
    <row r="565" ht="12.75" customHeight="1">
      <c r="A565" s="20"/>
    </row>
    <row r="566" ht="12.75" customHeight="1">
      <c r="A566" s="20"/>
    </row>
    <row r="567" ht="12.75" customHeight="1">
      <c r="A567" s="20"/>
    </row>
    <row r="568" ht="12.75" customHeight="1">
      <c r="A568" s="20"/>
    </row>
    <row r="569" ht="12.75" customHeight="1">
      <c r="A569" s="20"/>
    </row>
    <row r="570" ht="12.75" customHeight="1">
      <c r="A570" s="20"/>
    </row>
    <row r="571" ht="12.75" customHeight="1">
      <c r="A571" s="20"/>
    </row>
    <row r="572" ht="12.75" customHeight="1">
      <c r="A572" s="20"/>
    </row>
    <row r="573" ht="12.75" customHeight="1">
      <c r="A573" s="20"/>
    </row>
    <row r="574" ht="12.75" customHeight="1">
      <c r="A574" s="20"/>
    </row>
    <row r="575" ht="12.75" customHeight="1">
      <c r="A575" s="20"/>
    </row>
    <row r="576" ht="12.75" customHeight="1">
      <c r="A576" s="20"/>
    </row>
    <row r="577" ht="12.75" customHeight="1">
      <c r="A577" s="20"/>
    </row>
    <row r="578" ht="12.75" customHeight="1">
      <c r="A578" s="20"/>
    </row>
    <row r="579" ht="12.75" customHeight="1">
      <c r="A579" s="20"/>
    </row>
    <row r="580" ht="12.75" customHeight="1">
      <c r="A580" s="20"/>
    </row>
    <row r="581" ht="12.75" customHeight="1">
      <c r="A581" s="20"/>
    </row>
    <row r="582" ht="12.75" customHeight="1">
      <c r="A582" s="20"/>
    </row>
    <row r="583" ht="12.75" customHeight="1">
      <c r="A583" s="20"/>
    </row>
    <row r="584" ht="12.75" customHeight="1">
      <c r="A584" s="20"/>
    </row>
    <row r="585" ht="12.75" customHeight="1">
      <c r="A585" s="20"/>
    </row>
    <row r="586" ht="12.75" customHeight="1">
      <c r="A586" s="20"/>
    </row>
    <row r="587" ht="12.75" customHeight="1">
      <c r="A587" s="20"/>
    </row>
    <row r="588" ht="12.75" customHeight="1">
      <c r="A588" s="20"/>
    </row>
    <row r="589" ht="12.75" customHeight="1">
      <c r="A589" s="20"/>
    </row>
    <row r="590" ht="12.75" customHeight="1">
      <c r="A590" s="20"/>
    </row>
    <row r="591" ht="12.75" customHeight="1">
      <c r="A591" s="20"/>
    </row>
    <row r="592" ht="12.75" customHeight="1">
      <c r="A592" s="20"/>
    </row>
    <row r="593" ht="12.75" customHeight="1">
      <c r="A593" s="20"/>
    </row>
    <row r="594" ht="12.75" customHeight="1">
      <c r="A594" s="20"/>
    </row>
    <row r="595" ht="12.75" customHeight="1">
      <c r="A595" s="20"/>
    </row>
    <row r="596" ht="12.75" customHeight="1">
      <c r="A596" s="20"/>
    </row>
    <row r="597" ht="12.75" customHeight="1">
      <c r="A597" s="20"/>
    </row>
    <row r="598" ht="12.75" customHeight="1">
      <c r="A598" s="20"/>
    </row>
    <row r="599" ht="12.75" customHeight="1">
      <c r="A599" s="20"/>
    </row>
    <row r="600" ht="12.75" customHeight="1">
      <c r="A600" s="20"/>
    </row>
    <row r="601" ht="12.75" customHeight="1">
      <c r="A601" s="20"/>
    </row>
    <row r="602" ht="12.75" customHeight="1">
      <c r="A602" s="20"/>
    </row>
    <row r="603" ht="12.75" customHeight="1">
      <c r="A603" s="20"/>
    </row>
    <row r="604" ht="12.75" customHeight="1">
      <c r="A604" s="20"/>
    </row>
    <row r="605" ht="12.75" customHeight="1">
      <c r="A605" s="20"/>
    </row>
    <row r="606" ht="12.75" customHeight="1">
      <c r="A606" s="20"/>
    </row>
    <row r="607" ht="12.75" customHeight="1">
      <c r="A607" s="20"/>
    </row>
    <row r="608" ht="12.75" customHeight="1">
      <c r="A608" s="20"/>
    </row>
    <row r="609" ht="12.75" customHeight="1">
      <c r="A609" s="20"/>
    </row>
    <row r="610" ht="12.75" customHeight="1">
      <c r="A610" s="20"/>
    </row>
    <row r="611" ht="12.75" customHeight="1">
      <c r="A611" s="20"/>
    </row>
    <row r="612" ht="12.75" customHeight="1">
      <c r="A612" s="20"/>
    </row>
    <row r="613" ht="12.75" customHeight="1">
      <c r="A613" s="20"/>
    </row>
    <row r="614" ht="12.75" customHeight="1">
      <c r="A614" s="20"/>
    </row>
    <row r="615" ht="12.75" customHeight="1">
      <c r="A615" s="20"/>
    </row>
    <row r="616" ht="12.75" customHeight="1">
      <c r="A616" s="20"/>
    </row>
    <row r="617" ht="12.75" customHeight="1">
      <c r="A617" s="20"/>
    </row>
    <row r="618" ht="12.75" customHeight="1">
      <c r="A618" s="20"/>
    </row>
    <row r="619" ht="12.75" customHeight="1">
      <c r="A619" s="20"/>
    </row>
    <row r="620" ht="12.75" customHeight="1">
      <c r="A620" s="20"/>
    </row>
    <row r="621" ht="12.75" customHeight="1">
      <c r="A621" s="20"/>
    </row>
    <row r="622" ht="12.75" customHeight="1">
      <c r="A622" s="20"/>
    </row>
    <row r="623" ht="12.75" customHeight="1">
      <c r="A623" s="20"/>
    </row>
    <row r="624" ht="12.75" customHeight="1">
      <c r="A624" s="20"/>
    </row>
    <row r="625" ht="12.75" customHeight="1">
      <c r="A625" s="20"/>
    </row>
    <row r="626" ht="12.75" customHeight="1">
      <c r="A626" s="20"/>
    </row>
    <row r="627" ht="12.75" customHeight="1">
      <c r="A627" s="20"/>
    </row>
    <row r="628" ht="12.75" customHeight="1">
      <c r="A628" s="20"/>
    </row>
    <row r="629" ht="12.75" customHeight="1">
      <c r="A629" s="20"/>
    </row>
    <row r="630" ht="12.75" customHeight="1">
      <c r="A630" s="20"/>
    </row>
    <row r="631" ht="12.75" customHeight="1">
      <c r="A631" s="20"/>
    </row>
    <row r="632" ht="12.75" customHeight="1">
      <c r="A632" s="20"/>
    </row>
    <row r="633" ht="12.75" customHeight="1">
      <c r="A633" s="20"/>
    </row>
    <row r="634" ht="12.75" customHeight="1">
      <c r="A634" s="20"/>
    </row>
    <row r="635" ht="12.75" customHeight="1">
      <c r="A635" s="20"/>
    </row>
    <row r="636" ht="12.75" customHeight="1">
      <c r="A636" s="20"/>
    </row>
    <row r="637" ht="12.75" customHeight="1">
      <c r="A637" s="20"/>
    </row>
    <row r="638" ht="12.75" customHeight="1">
      <c r="A638" s="20"/>
    </row>
    <row r="639" ht="12.75" customHeight="1">
      <c r="A639" s="20"/>
    </row>
    <row r="640" ht="12.75" customHeight="1">
      <c r="A640" s="20"/>
    </row>
    <row r="641" ht="12.75" customHeight="1">
      <c r="A641" s="20"/>
    </row>
    <row r="642" ht="12.75" customHeight="1">
      <c r="A642" s="20"/>
    </row>
    <row r="643" ht="12.75" customHeight="1">
      <c r="A643" s="20"/>
    </row>
    <row r="644" ht="12.75" customHeight="1">
      <c r="A644" s="20"/>
    </row>
    <row r="645" ht="12.75" customHeight="1">
      <c r="A645" s="20"/>
    </row>
    <row r="646" ht="12.75" customHeight="1">
      <c r="A646" s="20"/>
    </row>
    <row r="647" ht="12.75" customHeight="1">
      <c r="A647" s="20"/>
    </row>
    <row r="648" ht="12.75" customHeight="1">
      <c r="A648" s="20"/>
    </row>
    <row r="649" ht="12.75" customHeight="1">
      <c r="A649" s="20"/>
    </row>
    <row r="650" ht="12.75" customHeight="1">
      <c r="A650" s="20"/>
    </row>
    <row r="651" ht="12.75" customHeight="1">
      <c r="A651" s="20"/>
    </row>
    <row r="652" ht="12.75" customHeight="1">
      <c r="A652" s="20"/>
    </row>
    <row r="653" ht="12.75" customHeight="1">
      <c r="A653" s="20"/>
    </row>
    <row r="654" ht="12.75" customHeight="1">
      <c r="A654" s="20"/>
    </row>
    <row r="655" ht="12.75" customHeight="1">
      <c r="A655" s="20"/>
    </row>
    <row r="656" ht="12.75" customHeight="1">
      <c r="A656" s="20"/>
    </row>
    <row r="657" ht="12.75" customHeight="1">
      <c r="A657" s="20"/>
    </row>
    <row r="658" ht="12.75" customHeight="1">
      <c r="A658" s="20"/>
    </row>
    <row r="659" ht="12.75" customHeight="1">
      <c r="A659" s="20"/>
    </row>
    <row r="660" ht="12.75" customHeight="1">
      <c r="A660" s="20"/>
    </row>
    <row r="661" ht="12.75" customHeight="1">
      <c r="A661" s="20"/>
    </row>
    <row r="662" ht="12.75" customHeight="1">
      <c r="A662" s="20"/>
    </row>
    <row r="663" ht="12.75" customHeight="1">
      <c r="A663" s="20"/>
    </row>
    <row r="664" ht="12.75" customHeight="1">
      <c r="A664" s="20"/>
    </row>
    <row r="665" ht="12.75" customHeight="1">
      <c r="A665" s="20"/>
    </row>
    <row r="666" ht="12.75" customHeight="1">
      <c r="A666" s="20"/>
    </row>
    <row r="667" ht="12.75" customHeight="1">
      <c r="A667" s="20"/>
    </row>
    <row r="668" ht="12.75" customHeight="1">
      <c r="A668" s="20"/>
    </row>
    <row r="669" ht="12.75" customHeight="1">
      <c r="A669" s="20"/>
    </row>
    <row r="670" ht="12.75" customHeight="1">
      <c r="A670" s="20"/>
    </row>
    <row r="671" ht="12.75" customHeight="1">
      <c r="A671" s="20"/>
    </row>
    <row r="672" ht="12.75" customHeight="1">
      <c r="A672" s="20"/>
    </row>
    <row r="673" ht="12.75" customHeight="1">
      <c r="A673" s="20"/>
    </row>
    <row r="674" ht="12.75" customHeight="1">
      <c r="A674" s="20"/>
    </row>
    <row r="675" ht="12.75" customHeight="1">
      <c r="A675" s="20"/>
    </row>
    <row r="676" ht="12.75" customHeight="1">
      <c r="A676" s="20"/>
    </row>
    <row r="677" ht="12.75" customHeight="1">
      <c r="A677" s="20"/>
    </row>
    <row r="678" ht="12.75" customHeight="1">
      <c r="A678" s="20"/>
    </row>
    <row r="679" ht="12.75" customHeight="1">
      <c r="A679" s="20"/>
    </row>
    <row r="680" ht="12.75" customHeight="1">
      <c r="A680" s="20"/>
    </row>
    <row r="681" ht="12.75" customHeight="1">
      <c r="A681" s="20"/>
    </row>
    <row r="682" ht="12.75" customHeight="1">
      <c r="A682" s="20"/>
    </row>
    <row r="683" ht="12.75" customHeight="1">
      <c r="A683" s="20"/>
    </row>
    <row r="684" ht="12.75" customHeight="1">
      <c r="A684" s="20"/>
    </row>
    <row r="685" ht="12.75" customHeight="1">
      <c r="A685" s="20"/>
    </row>
    <row r="686" ht="12.75" customHeight="1">
      <c r="A686" s="20"/>
    </row>
    <row r="687" ht="12.75" customHeight="1">
      <c r="A687" s="20"/>
    </row>
    <row r="688" ht="12.75" customHeight="1">
      <c r="A688" s="20"/>
    </row>
    <row r="689" ht="12.75" customHeight="1">
      <c r="A689" s="20"/>
    </row>
    <row r="690" ht="12.75" customHeight="1">
      <c r="A690" s="20"/>
    </row>
    <row r="691" ht="12.75" customHeight="1">
      <c r="A691" s="20"/>
    </row>
    <row r="692" ht="12.75" customHeight="1">
      <c r="A692" s="20"/>
    </row>
    <row r="693" ht="12.75" customHeight="1">
      <c r="A693" s="20"/>
    </row>
    <row r="694" ht="12.75" customHeight="1">
      <c r="A694" s="20"/>
    </row>
    <row r="695" ht="12.75" customHeight="1">
      <c r="A695" s="20"/>
    </row>
    <row r="696" ht="12.75" customHeight="1">
      <c r="A696" s="20"/>
    </row>
    <row r="697" ht="12.75" customHeight="1">
      <c r="A697" s="20"/>
    </row>
    <row r="698" ht="12.75" customHeight="1">
      <c r="A698" s="20"/>
    </row>
    <row r="699" ht="12.75" customHeight="1">
      <c r="A699" s="20"/>
    </row>
    <row r="700" ht="12.75" customHeight="1">
      <c r="A700" s="20"/>
    </row>
    <row r="701" ht="12.75" customHeight="1">
      <c r="A701" s="20"/>
    </row>
    <row r="702" ht="12.75" customHeight="1">
      <c r="A702" s="20"/>
    </row>
    <row r="703" ht="12.75" customHeight="1">
      <c r="A703" s="20"/>
    </row>
    <row r="704" ht="12.75" customHeight="1">
      <c r="A704" s="20"/>
    </row>
    <row r="705" ht="12.75" customHeight="1">
      <c r="A705" s="20"/>
    </row>
    <row r="706" ht="12.75" customHeight="1">
      <c r="A706" s="20"/>
    </row>
    <row r="707" ht="12.75" customHeight="1">
      <c r="A707" s="20"/>
    </row>
    <row r="708" ht="12.75" customHeight="1">
      <c r="A708" s="20"/>
    </row>
    <row r="709" ht="12.75" customHeight="1">
      <c r="A709" s="20"/>
    </row>
    <row r="710" ht="12.75" customHeight="1">
      <c r="A710" s="20"/>
    </row>
    <row r="711" ht="12.75" customHeight="1">
      <c r="A711" s="20"/>
    </row>
    <row r="712" ht="12.75" customHeight="1">
      <c r="A712" s="20"/>
    </row>
    <row r="713" ht="12.75" customHeight="1">
      <c r="A713" s="20"/>
    </row>
    <row r="714" ht="12.75" customHeight="1">
      <c r="A714" s="20"/>
    </row>
    <row r="715" ht="12.75" customHeight="1">
      <c r="A715" s="20"/>
    </row>
    <row r="716" ht="12.75" customHeight="1">
      <c r="A716" s="20"/>
    </row>
    <row r="717" ht="12.75" customHeight="1">
      <c r="A717" s="20"/>
    </row>
    <row r="718" ht="12.75" customHeight="1">
      <c r="A718" s="20"/>
    </row>
    <row r="719" ht="12.75" customHeight="1">
      <c r="A719" s="20"/>
    </row>
    <row r="720" ht="12.75" customHeight="1">
      <c r="A720" s="20"/>
    </row>
    <row r="721" ht="12.75" customHeight="1">
      <c r="A721" s="20"/>
    </row>
    <row r="722" ht="12.75" customHeight="1">
      <c r="A722" s="20"/>
    </row>
    <row r="723" ht="12.75" customHeight="1">
      <c r="A723" s="20"/>
    </row>
    <row r="724" ht="12.75" customHeight="1">
      <c r="A724" s="20"/>
    </row>
    <row r="725" ht="12.75" customHeight="1">
      <c r="A725" s="20"/>
    </row>
    <row r="726" ht="12.75" customHeight="1">
      <c r="A726" s="20"/>
    </row>
    <row r="727" ht="12.75" customHeight="1">
      <c r="A727" s="20"/>
    </row>
    <row r="728" ht="12.75" customHeight="1">
      <c r="A728" s="20"/>
    </row>
    <row r="729" ht="12.75" customHeight="1">
      <c r="A729" s="20"/>
    </row>
    <row r="730" ht="12.75" customHeight="1">
      <c r="A730" s="20"/>
    </row>
    <row r="731" ht="12.75" customHeight="1">
      <c r="A731" s="20"/>
    </row>
    <row r="732" ht="12.75" customHeight="1">
      <c r="A732" s="20"/>
    </row>
    <row r="733" ht="12.75" customHeight="1">
      <c r="A733" s="20"/>
    </row>
    <row r="734" ht="12.75" customHeight="1">
      <c r="A734" s="20"/>
    </row>
    <row r="735" ht="12.75" customHeight="1">
      <c r="A735" s="20"/>
    </row>
    <row r="736" ht="12.75" customHeight="1">
      <c r="A736" s="20"/>
    </row>
    <row r="737" ht="12.75" customHeight="1">
      <c r="A737" s="20"/>
    </row>
    <row r="738" ht="12.75" customHeight="1">
      <c r="A738" s="20"/>
    </row>
    <row r="739" ht="12.75" customHeight="1">
      <c r="A739" s="20"/>
    </row>
    <row r="740" ht="12.75" customHeight="1">
      <c r="A740" s="20"/>
    </row>
    <row r="741" ht="12.75" customHeight="1">
      <c r="A741" s="20"/>
    </row>
    <row r="742" ht="12.75" customHeight="1">
      <c r="A742" s="20"/>
    </row>
    <row r="743" ht="12.75" customHeight="1">
      <c r="A743" s="20"/>
    </row>
    <row r="744" ht="12.75" customHeight="1">
      <c r="A744" s="20"/>
    </row>
    <row r="745" ht="12.75" customHeight="1">
      <c r="A745" s="20"/>
    </row>
    <row r="746" ht="12.75" customHeight="1">
      <c r="A746" s="20"/>
    </row>
    <row r="747" ht="12.75" customHeight="1">
      <c r="A747" s="20"/>
    </row>
    <row r="748" ht="12.75" customHeight="1">
      <c r="A748" s="20"/>
    </row>
    <row r="749" ht="12.75" customHeight="1">
      <c r="A749" s="20"/>
    </row>
    <row r="750" ht="12.75" customHeight="1">
      <c r="A750" s="20"/>
    </row>
    <row r="751" ht="12.75" customHeight="1">
      <c r="A751" s="20"/>
    </row>
    <row r="752" ht="12.75" customHeight="1">
      <c r="A752" s="20"/>
    </row>
    <row r="753" ht="12.75" customHeight="1">
      <c r="A753" s="20"/>
    </row>
    <row r="754" ht="12.75" customHeight="1">
      <c r="A754" s="20"/>
    </row>
    <row r="755" ht="12.75" customHeight="1">
      <c r="A755" s="20"/>
    </row>
    <row r="756" ht="12.75" customHeight="1">
      <c r="A756" s="20"/>
    </row>
    <row r="757" ht="12.75" customHeight="1">
      <c r="A757" s="20"/>
    </row>
    <row r="758" ht="12.75" customHeight="1">
      <c r="A758" s="20"/>
    </row>
    <row r="759" ht="12.75" customHeight="1">
      <c r="A759" s="20"/>
    </row>
    <row r="760" ht="12.75" customHeight="1">
      <c r="A760" s="20"/>
    </row>
    <row r="761" ht="12.75" customHeight="1">
      <c r="A761" s="20"/>
    </row>
    <row r="762" ht="12.75" customHeight="1">
      <c r="A762" s="20"/>
    </row>
    <row r="763" ht="12.75" customHeight="1">
      <c r="A763" s="20"/>
    </row>
    <row r="764" ht="12.75" customHeight="1">
      <c r="A764" s="20"/>
    </row>
    <row r="765" ht="12.75" customHeight="1">
      <c r="A765" s="20"/>
    </row>
    <row r="766" ht="12.75" customHeight="1">
      <c r="A766" s="20"/>
    </row>
    <row r="767" ht="12.75" customHeight="1">
      <c r="A767" s="20"/>
    </row>
    <row r="768" ht="12.75" customHeight="1">
      <c r="A768" s="20"/>
    </row>
    <row r="769" ht="12.75" customHeight="1">
      <c r="A769" s="20"/>
    </row>
    <row r="770" ht="12.75" customHeight="1">
      <c r="A770" s="20"/>
    </row>
    <row r="771" ht="12.75" customHeight="1">
      <c r="A771" s="20"/>
    </row>
    <row r="772" ht="12.75" customHeight="1">
      <c r="A772" s="20"/>
    </row>
    <row r="773" ht="12.75" customHeight="1">
      <c r="A773" s="20"/>
    </row>
    <row r="774" ht="12.75" customHeight="1">
      <c r="A774" s="20"/>
    </row>
    <row r="775" ht="12.75" customHeight="1">
      <c r="A775" s="20"/>
    </row>
    <row r="776" ht="12.75" customHeight="1">
      <c r="A776" s="20"/>
    </row>
    <row r="777" ht="12.75" customHeight="1">
      <c r="A777" s="20"/>
    </row>
    <row r="778" ht="12.75" customHeight="1">
      <c r="A778" s="20"/>
    </row>
    <row r="779" ht="12.75" customHeight="1">
      <c r="A779" s="20"/>
    </row>
    <row r="780" ht="12.75" customHeight="1">
      <c r="A780" s="20"/>
    </row>
    <row r="781" ht="12.75" customHeight="1">
      <c r="A781" s="20"/>
    </row>
    <row r="782" ht="12.75" customHeight="1">
      <c r="A782" s="20"/>
    </row>
    <row r="783" ht="12.75" customHeight="1">
      <c r="A783" s="20"/>
    </row>
    <row r="784" ht="12.75" customHeight="1">
      <c r="A784" s="20"/>
    </row>
    <row r="785" ht="12.75" customHeight="1">
      <c r="A785" s="20"/>
    </row>
    <row r="786" ht="12.75" customHeight="1">
      <c r="A786" s="20"/>
    </row>
    <row r="787" ht="12.75" customHeight="1">
      <c r="A787" s="20"/>
    </row>
    <row r="788" ht="12.75" customHeight="1">
      <c r="A788" s="20"/>
    </row>
    <row r="789" ht="12.75" customHeight="1">
      <c r="A789" s="20"/>
    </row>
    <row r="790" ht="12.75" customHeight="1">
      <c r="A790" s="20"/>
    </row>
    <row r="791" ht="12.75" customHeight="1">
      <c r="A791" s="20"/>
    </row>
    <row r="792" ht="12.75" customHeight="1">
      <c r="A792" s="20"/>
    </row>
    <row r="793" ht="12.75" customHeight="1">
      <c r="A793" s="20"/>
    </row>
    <row r="794" ht="12.75" customHeight="1">
      <c r="A794" s="20"/>
    </row>
    <row r="795" ht="12.75" customHeight="1">
      <c r="A795" s="20"/>
    </row>
    <row r="796" ht="12.75" customHeight="1">
      <c r="A796" s="20"/>
    </row>
    <row r="797" ht="12.75" customHeight="1">
      <c r="A797" s="20"/>
    </row>
    <row r="798" ht="12.75" customHeight="1">
      <c r="A798" s="20"/>
    </row>
    <row r="799" ht="12.75" customHeight="1">
      <c r="A799" s="20"/>
    </row>
    <row r="800" ht="12.75" customHeight="1">
      <c r="A800" s="20"/>
    </row>
    <row r="801" ht="12.75" customHeight="1">
      <c r="A801" s="20"/>
    </row>
    <row r="802" ht="12.75" customHeight="1">
      <c r="A802" s="20"/>
    </row>
    <row r="803" ht="12.75" customHeight="1">
      <c r="A803" s="20"/>
    </row>
    <row r="804" ht="12.75" customHeight="1">
      <c r="A804" s="20"/>
    </row>
    <row r="805" ht="12.75" customHeight="1">
      <c r="A805" s="20"/>
    </row>
    <row r="806" ht="12.75" customHeight="1">
      <c r="A806" s="20"/>
    </row>
    <row r="807" ht="12.75" customHeight="1">
      <c r="A807" s="20"/>
    </row>
    <row r="808" ht="12.75" customHeight="1">
      <c r="A808" s="20"/>
    </row>
    <row r="809" ht="12.75" customHeight="1">
      <c r="A809" s="20"/>
    </row>
    <row r="810" ht="12.75" customHeight="1">
      <c r="A810" s="20"/>
    </row>
    <row r="811" ht="12.75" customHeight="1">
      <c r="A811" s="20"/>
    </row>
    <row r="812" ht="12.75" customHeight="1">
      <c r="A812" s="20"/>
    </row>
    <row r="813" ht="12.75" customHeight="1">
      <c r="A813" s="20"/>
    </row>
    <row r="814" ht="12.75" customHeight="1">
      <c r="A814" s="20"/>
    </row>
    <row r="815" ht="12.75" customHeight="1">
      <c r="A815" s="20"/>
    </row>
    <row r="816" ht="12.75" customHeight="1">
      <c r="A816" s="20"/>
    </row>
    <row r="817" ht="12.75" customHeight="1">
      <c r="A817" s="20"/>
    </row>
    <row r="818" ht="12.75" customHeight="1">
      <c r="A818" s="20"/>
    </row>
    <row r="819" ht="12.75" customHeight="1">
      <c r="A819" s="20"/>
    </row>
    <row r="820" ht="12.75" customHeight="1">
      <c r="A820" s="20"/>
    </row>
    <row r="821" ht="12.75" customHeight="1">
      <c r="A821" s="20"/>
    </row>
    <row r="822" ht="12.75" customHeight="1">
      <c r="A822" s="20"/>
    </row>
    <row r="823" ht="12.75" customHeight="1">
      <c r="A823" s="20"/>
    </row>
    <row r="824" ht="12.75" customHeight="1">
      <c r="A824" s="20"/>
    </row>
    <row r="825" ht="12.75" customHeight="1">
      <c r="A825" s="20"/>
    </row>
    <row r="826" ht="12.75" customHeight="1">
      <c r="A826" s="20"/>
    </row>
    <row r="827" ht="12.75" customHeight="1">
      <c r="A827" s="20"/>
    </row>
    <row r="828" ht="12.75" customHeight="1">
      <c r="A828" s="20"/>
    </row>
    <row r="829" ht="12.75" customHeight="1">
      <c r="A829" s="20"/>
    </row>
    <row r="830" ht="12.75" customHeight="1">
      <c r="A830" s="20"/>
    </row>
    <row r="831" ht="12.75" customHeight="1">
      <c r="A831" s="20"/>
    </row>
    <row r="832" ht="12.75" customHeight="1">
      <c r="A832" s="20"/>
    </row>
    <row r="833" ht="12.75" customHeight="1">
      <c r="A833" s="20"/>
    </row>
    <row r="834" ht="12.75" customHeight="1">
      <c r="A834" s="20"/>
    </row>
    <row r="835" ht="12.75" customHeight="1">
      <c r="A835" s="20"/>
    </row>
    <row r="836" ht="12.75" customHeight="1">
      <c r="A836" s="20"/>
    </row>
    <row r="837" ht="12.75" customHeight="1">
      <c r="A837" s="20"/>
    </row>
    <row r="838" ht="12.75" customHeight="1">
      <c r="A838" s="20"/>
    </row>
    <row r="839" ht="12.75" customHeight="1">
      <c r="A839" s="20"/>
    </row>
    <row r="840" ht="12.75" customHeight="1">
      <c r="A840" s="20"/>
    </row>
    <row r="841" ht="12.75" customHeight="1">
      <c r="A841" s="20"/>
    </row>
    <row r="842" ht="12.75" customHeight="1">
      <c r="A842" s="20"/>
    </row>
    <row r="843" ht="12.75" customHeight="1">
      <c r="A843" s="20"/>
    </row>
    <row r="844" ht="12.75" customHeight="1">
      <c r="A844" s="20"/>
    </row>
    <row r="845" ht="12.75" customHeight="1">
      <c r="A845" s="20"/>
    </row>
    <row r="846" ht="12.75" customHeight="1">
      <c r="A846" s="20"/>
    </row>
    <row r="847" ht="12.75" customHeight="1">
      <c r="A847" s="20"/>
    </row>
    <row r="848" ht="12.75" customHeight="1">
      <c r="A848" s="20"/>
    </row>
    <row r="849" ht="12.75" customHeight="1">
      <c r="A849" s="20"/>
    </row>
    <row r="850" ht="12.75" customHeight="1">
      <c r="A850" s="20"/>
    </row>
    <row r="851" ht="12.75" customHeight="1">
      <c r="A851" s="20"/>
    </row>
    <row r="852" ht="12.75" customHeight="1">
      <c r="A852" s="20"/>
    </row>
    <row r="853" ht="12.75" customHeight="1">
      <c r="A853" s="20"/>
    </row>
    <row r="854" ht="12.75" customHeight="1">
      <c r="A854" s="20"/>
    </row>
    <row r="855" ht="12.75" customHeight="1">
      <c r="A855" s="20"/>
    </row>
    <row r="856" ht="12.75" customHeight="1">
      <c r="A856" s="20"/>
    </row>
    <row r="857" ht="12.75" customHeight="1">
      <c r="A857" s="20"/>
    </row>
    <row r="858" ht="12.75" customHeight="1">
      <c r="A858" s="20"/>
    </row>
    <row r="859" ht="12.75" customHeight="1">
      <c r="A859" s="20"/>
    </row>
    <row r="860" ht="12.75" customHeight="1">
      <c r="A860" s="20"/>
    </row>
    <row r="861" ht="12.75" customHeight="1">
      <c r="A861" s="20"/>
    </row>
    <row r="862" ht="12.75" customHeight="1">
      <c r="A862" s="20"/>
    </row>
    <row r="863" ht="12.75" customHeight="1">
      <c r="A863" s="20"/>
    </row>
    <row r="864" ht="12.75" customHeight="1">
      <c r="A864" s="20"/>
    </row>
    <row r="865" ht="12.75" customHeight="1">
      <c r="A865" s="20"/>
    </row>
    <row r="866" ht="12.75" customHeight="1">
      <c r="A866" s="20"/>
    </row>
    <row r="867" ht="12.75" customHeight="1">
      <c r="A867" s="20"/>
    </row>
    <row r="868" ht="12.75" customHeight="1">
      <c r="A868" s="20"/>
    </row>
    <row r="869" ht="12.75" customHeight="1">
      <c r="A869" s="20"/>
    </row>
    <row r="870" ht="12.75" customHeight="1">
      <c r="A870" s="20"/>
    </row>
    <row r="871" ht="12.75" customHeight="1">
      <c r="A871" s="20"/>
    </row>
    <row r="872" ht="12.75" customHeight="1">
      <c r="A872" s="20"/>
    </row>
    <row r="873" ht="12.75" customHeight="1">
      <c r="A873" s="20"/>
    </row>
    <row r="874" ht="12.75" customHeight="1">
      <c r="A874" s="20"/>
    </row>
    <row r="875" ht="12.75" customHeight="1">
      <c r="A875" s="20"/>
    </row>
    <row r="876" ht="12.75" customHeight="1">
      <c r="A876" s="20"/>
    </row>
    <row r="877" ht="12.75" customHeight="1">
      <c r="A877" s="20"/>
    </row>
    <row r="878" ht="12.75" customHeight="1">
      <c r="A878" s="20"/>
    </row>
    <row r="879" ht="12.75" customHeight="1">
      <c r="A879" s="20"/>
    </row>
    <row r="880" ht="12.75" customHeight="1">
      <c r="A880" s="20"/>
    </row>
    <row r="881" ht="12.75" customHeight="1">
      <c r="A881" s="20"/>
    </row>
    <row r="882" ht="12.75" customHeight="1">
      <c r="A882" s="20"/>
    </row>
    <row r="883" ht="12.75" customHeight="1">
      <c r="A883" s="20"/>
    </row>
    <row r="884" ht="12.75" customHeight="1">
      <c r="A884" s="20"/>
    </row>
    <row r="885" ht="12.75" customHeight="1">
      <c r="A885" s="20"/>
    </row>
    <row r="886" ht="12.75" customHeight="1">
      <c r="A886" s="20"/>
    </row>
    <row r="887" ht="12.75" customHeight="1">
      <c r="A887" s="20"/>
    </row>
    <row r="888" ht="12.75" customHeight="1">
      <c r="A888" s="20"/>
    </row>
    <row r="889" ht="12.75" customHeight="1">
      <c r="A889" s="20"/>
    </row>
    <row r="890" ht="12.75" customHeight="1">
      <c r="A890" s="20"/>
    </row>
    <row r="891" ht="12.75" customHeight="1">
      <c r="A891" s="20"/>
    </row>
    <row r="892" ht="12.75" customHeight="1">
      <c r="A892" s="20"/>
    </row>
    <row r="893" ht="12.75" customHeight="1">
      <c r="A893" s="20"/>
    </row>
    <row r="894" ht="12.75" customHeight="1">
      <c r="A894" s="20"/>
    </row>
    <row r="895" ht="12.75" customHeight="1">
      <c r="A895" s="20"/>
    </row>
    <row r="896" ht="12.75" customHeight="1">
      <c r="A896" s="20"/>
    </row>
    <row r="897" ht="12.75" customHeight="1">
      <c r="A897" s="20"/>
    </row>
    <row r="898" ht="12.75" customHeight="1">
      <c r="A898" s="20"/>
    </row>
    <row r="899" ht="12.75" customHeight="1">
      <c r="A899" s="20"/>
    </row>
    <row r="900" ht="12.75" customHeight="1">
      <c r="A900" s="20"/>
    </row>
    <row r="901" ht="12.75" customHeight="1">
      <c r="A901" s="20"/>
    </row>
    <row r="902" ht="12.75" customHeight="1">
      <c r="A902" s="20"/>
    </row>
    <row r="903" ht="12.75" customHeight="1">
      <c r="A903" s="20"/>
    </row>
    <row r="904" ht="12.75" customHeight="1">
      <c r="A904" s="20"/>
    </row>
    <row r="905" ht="12.75" customHeight="1">
      <c r="A905" s="20"/>
    </row>
    <row r="906" ht="12.75" customHeight="1">
      <c r="A906" s="20"/>
    </row>
    <row r="907" ht="12.75" customHeight="1">
      <c r="A907" s="20"/>
    </row>
    <row r="908" ht="12.75" customHeight="1">
      <c r="A908" s="20"/>
    </row>
    <row r="909" ht="12.75" customHeight="1">
      <c r="A909" s="20"/>
    </row>
    <row r="910" ht="12.75" customHeight="1">
      <c r="A910" s="20"/>
    </row>
    <row r="911" ht="12.75" customHeight="1">
      <c r="A911" s="20"/>
    </row>
    <row r="912" ht="12.75" customHeight="1">
      <c r="A912" s="20"/>
    </row>
    <row r="913" ht="12.75" customHeight="1">
      <c r="A913" s="20"/>
    </row>
    <row r="914" ht="12.75" customHeight="1">
      <c r="A914" s="20"/>
    </row>
    <row r="915" ht="12.75" customHeight="1">
      <c r="A915" s="20"/>
    </row>
    <row r="916" ht="12.75" customHeight="1">
      <c r="A916" s="20"/>
    </row>
    <row r="917" ht="12.75" customHeight="1">
      <c r="A917" s="20"/>
    </row>
    <row r="918" ht="12.75" customHeight="1">
      <c r="A918" s="20"/>
    </row>
    <row r="919" ht="12.75" customHeight="1">
      <c r="A919" s="20"/>
    </row>
    <row r="920" ht="12.75" customHeight="1">
      <c r="A920" s="20"/>
    </row>
    <row r="921" ht="12.75" customHeight="1">
      <c r="A921" s="20"/>
    </row>
    <row r="922" ht="12.75" customHeight="1">
      <c r="A922" s="20"/>
    </row>
    <row r="923" ht="12.75" customHeight="1">
      <c r="A923" s="20"/>
    </row>
    <row r="924" ht="12.75" customHeight="1">
      <c r="A924" s="20"/>
    </row>
    <row r="925" ht="12.75" customHeight="1">
      <c r="A925" s="20"/>
    </row>
    <row r="926" ht="12.75" customHeight="1">
      <c r="A926" s="20"/>
    </row>
    <row r="927" ht="12.75" customHeight="1">
      <c r="A927" s="20"/>
    </row>
    <row r="928" ht="12.75" customHeight="1">
      <c r="A928" s="20"/>
    </row>
    <row r="929" ht="12.75" customHeight="1">
      <c r="A929" s="20"/>
    </row>
    <row r="930" ht="12.75" customHeight="1">
      <c r="A930" s="20"/>
    </row>
    <row r="931" ht="12.75" customHeight="1">
      <c r="A931" s="20"/>
    </row>
    <row r="932" ht="12.75" customHeight="1">
      <c r="A932" s="20"/>
    </row>
    <row r="933" ht="12.75" customHeight="1">
      <c r="A933" s="20"/>
    </row>
    <row r="934" ht="12.75" customHeight="1">
      <c r="A934" s="20"/>
    </row>
    <row r="935" ht="12.75" customHeight="1">
      <c r="A935" s="20"/>
    </row>
    <row r="936" ht="12.75" customHeight="1">
      <c r="A936" s="20"/>
    </row>
    <row r="937" ht="12.75" customHeight="1">
      <c r="A937" s="20"/>
    </row>
    <row r="938" ht="12.75" customHeight="1">
      <c r="A938" s="20"/>
    </row>
    <row r="939" ht="12.75" customHeight="1">
      <c r="A939" s="20"/>
    </row>
    <row r="940" ht="12.75" customHeight="1">
      <c r="A940" s="20"/>
    </row>
    <row r="941" ht="12.75" customHeight="1">
      <c r="A941" s="20"/>
    </row>
    <row r="942" ht="12.75" customHeight="1">
      <c r="A942" s="20"/>
    </row>
    <row r="943" ht="12.75" customHeight="1">
      <c r="A943" s="20"/>
    </row>
    <row r="944" ht="12.75" customHeight="1">
      <c r="A944" s="20"/>
    </row>
    <row r="945" ht="12.75" customHeight="1">
      <c r="A945" s="20"/>
    </row>
    <row r="946" ht="12.75" customHeight="1">
      <c r="A946" s="20"/>
    </row>
    <row r="947" ht="12.75" customHeight="1">
      <c r="A947" s="20"/>
    </row>
    <row r="948" ht="12.75" customHeight="1">
      <c r="A948" s="20"/>
    </row>
    <row r="949" ht="12.75" customHeight="1">
      <c r="A949" s="20"/>
    </row>
    <row r="950" ht="12.75" customHeight="1">
      <c r="A950" s="20"/>
    </row>
    <row r="951" ht="12.75" customHeight="1">
      <c r="A951" s="20"/>
    </row>
    <row r="952" ht="12.75" customHeight="1">
      <c r="A952" s="20"/>
    </row>
    <row r="953" ht="12.75" customHeight="1">
      <c r="A953" s="20"/>
    </row>
    <row r="954" ht="12.75" customHeight="1">
      <c r="A954" s="20"/>
    </row>
    <row r="955" ht="12.75" customHeight="1">
      <c r="A955" s="20"/>
    </row>
    <row r="956" ht="12.75" customHeight="1">
      <c r="A956" s="20"/>
    </row>
    <row r="957" ht="12.75" customHeight="1">
      <c r="A957" s="20"/>
    </row>
    <row r="958" ht="12.75" customHeight="1">
      <c r="A958" s="20"/>
    </row>
    <row r="959" ht="12.75" customHeight="1">
      <c r="A959" s="20"/>
    </row>
    <row r="960" ht="12.75" customHeight="1">
      <c r="A960" s="20"/>
    </row>
    <row r="961" ht="12.75" customHeight="1">
      <c r="A961" s="20"/>
    </row>
    <row r="962" ht="12.75" customHeight="1">
      <c r="A962" s="20"/>
    </row>
    <row r="963" ht="12.75" customHeight="1">
      <c r="A963" s="20"/>
    </row>
    <row r="964" ht="12.75" customHeight="1">
      <c r="A964" s="20"/>
    </row>
    <row r="965" ht="12.75" customHeight="1">
      <c r="A965" s="20"/>
    </row>
    <row r="966" ht="12.75" customHeight="1">
      <c r="A966" s="20"/>
    </row>
    <row r="967" ht="12.75" customHeight="1">
      <c r="A967" s="20"/>
    </row>
    <row r="968" ht="12.75" customHeight="1">
      <c r="A968" s="20"/>
    </row>
    <row r="969" ht="12.75" customHeight="1">
      <c r="A969" s="20"/>
    </row>
    <row r="970" ht="12.75" customHeight="1">
      <c r="A970" s="20"/>
    </row>
    <row r="971" ht="12.75" customHeight="1">
      <c r="A971" s="20"/>
    </row>
    <row r="972" ht="12.75" customHeight="1">
      <c r="A972" s="20"/>
    </row>
    <row r="973" ht="12.75" customHeight="1">
      <c r="A973" s="20"/>
    </row>
    <row r="974" ht="12.75" customHeight="1">
      <c r="A974" s="20"/>
    </row>
    <row r="975" ht="12.75" customHeight="1">
      <c r="A975" s="20"/>
    </row>
    <row r="976" ht="12.75" customHeight="1">
      <c r="A976" s="20"/>
    </row>
    <row r="977" ht="12.75" customHeight="1">
      <c r="A977" s="20"/>
    </row>
    <row r="978" ht="12.75" customHeight="1">
      <c r="A978" s="20"/>
    </row>
    <row r="979" ht="12.75" customHeight="1">
      <c r="A979" s="20"/>
    </row>
    <row r="980" ht="12.75" customHeight="1">
      <c r="A980" s="20"/>
    </row>
    <row r="981" ht="12.75" customHeight="1">
      <c r="A981" s="20"/>
    </row>
    <row r="982" ht="12.75" customHeight="1">
      <c r="A982" s="20"/>
    </row>
    <row r="983" ht="12.75" customHeight="1">
      <c r="A983" s="20"/>
    </row>
    <row r="984" ht="12.75" customHeight="1">
      <c r="A984" s="20"/>
    </row>
    <row r="985" ht="12.75" customHeight="1">
      <c r="A985" s="20"/>
    </row>
    <row r="986" ht="12.75" customHeight="1">
      <c r="A986" s="20"/>
    </row>
    <row r="987" ht="12.75" customHeight="1">
      <c r="A987" s="20"/>
    </row>
    <row r="988" ht="12.75" customHeight="1">
      <c r="A988" s="20"/>
    </row>
    <row r="989" ht="12.75" customHeight="1">
      <c r="A989" s="20"/>
    </row>
    <row r="990" ht="12.75" customHeight="1">
      <c r="A990" s="20"/>
    </row>
    <row r="991" ht="12.75" customHeight="1">
      <c r="A991" s="20"/>
    </row>
    <row r="992" ht="12.75" customHeight="1">
      <c r="A992" s="20"/>
    </row>
    <row r="993" ht="12.75" customHeight="1">
      <c r="A993" s="20"/>
    </row>
    <row r="994" ht="12.75" customHeight="1">
      <c r="A994" s="20"/>
    </row>
    <row r="995" ht="12.75" customHeight="1">
      <c r="A995" s="20"/>
    </row>
    <row r="996" ht="12.75" customHeight="1">
      <c r="A996" s="20"/>
    </row>
    <row r="997" ht="12.75" customHeight="1">
      <c r="A997" s="20"/>
    </row>
    <row r="998" ht="12.75" customHeight="1">
      <c r="A998" s="20"/>
    </row>
    <row r="999" ht="12.75" customHeight="1">
      <c r="A999" s="20"/>
    </row>
    <row r="1000" ht="12.75" customHeight="1">
      <c r="A1000" s="20"/>
    </row>
  </sheetData>
  <mergeCells count="3">
    <mergeCell ref="A1:C1"/>
    <mergeCell ref="A2:C2"/>
    <mergeCell ref="A4:C4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2025-09-09T20:18:50Z</dcterms:created>
  <dc:creator>Alexey V. Loganchuk</dc:creator>
</cp:coreProperties>
</file>